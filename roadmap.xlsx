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Levels" sheetId="3" state="hidden" r:id="rId3"/>
    <sheet xmlns:r="http://schemas.openxmlformats.org/officeDocument/2006/relationships" name="Legend" sheetId="4" state="visible" r:id="rId4"/>
  </sheets>
  <definedNames>
    <definedName name="LevelXP">Levels!$B$2:$B$41</definedName>
    <definedName name="LevelNo">Levels!$A$2:$A$41</definedName>
    <definedName name="RankLvl">Levels!$C$2:$C$8</definedName>
    <definedName name="RankName">Levels!$D$2:$D$8</definedName>
    <definedName name="_xlnm._FilterDatabase" localSheetId="1" hidden="1">'Roadmap'!$A$1:$K$87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FEB"/>
    </font>
    <font>
      <b val="1"/>
      <color rgb="001F6FEB"/>
      <sz val="18"/>
    </font>
    <font>
      <i val="1"/>
      <color rgb="006E7681"/>
      <sz val="10"/>
    </font>
    <font>
      <b val="1"/>
      <color rgb="006E7681"/>
      <sz val="10"/>
    </font>
    <font>
      <b val="1"/>
      <color rgb="001A7F37"/>
      <sz val="22"/>
    </font>
    <font>
      <b val="1"/>
      <color rgb="001F6FEB"/>
      <sz val="22"/>
    </font>
    <font>
      <b val="1"/>
      <color rgb="006E7681"/>
      <sz val="22"/>
    </font>
    <font>
      <b val="1"/>
      <color rgb="009A6700"/>
      <sz val="22"/>
    </font>
    <font>
      <b val="1"/>
      <color rgb="00D29922"/>
      <sz val="28"/>
    </font>
    <font>
      <b val="1"/>
      <color rgb="00D29922"/>
      <sz val="16"/>
    </font>
    <font>
      <b val="1"/>
      <color rgb="00FFFFFF"/>
      <sz val="12"/>
    </font>
    <font>
      <b val="1"/>
      <color rgb="00FFFFFF"/>
      <sz val="10"/>
    </font>
    <font>
      <b val="1"/>
    </font>
    <font>
      <i val="1"/>
      <color rgb="006E7681"/>
      <sz val="9"/>
    </font>
    <font>
      <b val="1"/>
      <color rgb="001F6FEB"/>
      <sz val="16"/>
    </font>
    <font>
      <b val="1"/>
      <color rgb="00D29922"/>
      <sz val="12"/>
    </font>
    <font>
      <b val="1"/>
      <color rgb="00FFFFFF"/>
    </font>
    <font>
      <color rgb="00C9D1D9"/>
    </font>
    <font>
      <b val="1"/>
      <color rgb="006E7681"/>
    </font>
  </fonts>
  <fills count="3">
    <fill>
      <patternFill/>
    </fill>
    <fill>
      <patternFill patternType="gray125"/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13" fillId="2" borderId="0" applyAlignment="1" pivotButton="0" quotePrefix="0" xfId="0">
      <alignment horizontal="center"/>
    </xf>
    <xf numFmtId="0" fontId="14" fillId="0" borderId="1" pivotButton="0" quotePrefix="0" xfId="0"/>
    <xf numFmtId="0" fontId="0" fillId="0" borderId="1" applyAlignment="1" pivotButton="0" quotePrefix="0" xfId="0">
      <alignment horizontal="center"/>
    </xf>
    <xf numFmtId="0" fontId="1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RED TEAM MASTERY  —  PROGRESS DASHBOARD</t>
        </is>
      </c>
    </row>
    <row r="3">
      <c r="B3" s="2" t="inlineStr">
        <is>
          <t>From intermediate pentester to elite adversary-emulation operator</t>
        </is>
      </c>
    </row>
    <row r="5">
      <c r="B5" s="3" t="inlineStr">
        <is>
          <t>TASKS DONE</t>
        </is>
      </c>
      <c r="C5" s="3" t="inlineStr">
        <is>
          <t>XP EARNED</t>
        </is>
      </c>
      <c r="D5" s="3" t="inlineStr">
        <is>
          <t>TOTAL XP</t>
        </is>
      </c>
      <c r="E5" s="3" t="inlineStr">
        <is>
          <t>% COMPLETE</t>
        </is>
      </c>
    </row>
    <row r="6">
      <c r="B6" s="4">
        <f>COUNTIF(Roadmap!H2:H87,"Done")&amp;"  /  86"</f>
        <v/>
      </c>
      <c r="C6" s="5">
        <f>SUM(Roadmap!I2:I87)</f>
        <v/>
      </c>
      <c r="D6" s="6">
        <f>30850</f>
        <v/>
      </c>
      <c r="E6" s="7">
        <f>TEXT(SUM(Roadmap!I2:I87)/30850,"0%")</f>
        <v/>
      </c>
    </row>
    <row r="8">
      <c r="B8" s="3" t="inlineStr">
        <is>
          <t>LEVEL</t>
        </is>
      </c>
      <c r="C8" s="3" t="inlineStr">
        <is>
          <t>RANK</t>
        </is>
      </c>
    </row>
    <row r="9">
      <c r="B9" s="8">
        <f>LOOKUP(SUM(Roadmap!I2:I87),LevelXP,LevelNo)</f>
        <v/>
      </c>
      <c r="C9" s="9">
        <f>LOOKUP(B9,RankLvl,RankName)</f>
        <v/>
      </c>
    </row>
    <row r="12">
      <c r="B12" s="10" t="inlineStr">
        <is>
          <t>PROGRESS BY PHASE</t>
        </is>
      </c>
    </row>
    <row r="13">
      <c r="B13" s="11" t="inlineStr">
        <is>
          <t>Phase</t>
        </is>
      </c>
      <c r="C13" s="11" t="inlineStr">
        <is>
          <t>Tasks Done</t>
        </is>
      </c>
      <c r="D13" s="11" t="inlineStr">
        <is>
          <t>Task Count</t>
        </is>
      </c>
      <c r="E13" s="11" t="inlineStr">
        <is>
          <t>XP Earned</t>
        </is>
      </c>
      <c r="F13" s="11" t="inlineStr">
        <is>
          <t>XP Total</t>
        </is>
      </c>
    </row>
    <row r="14">
      <c r="B14" s="12" t="inlineStr">
        <is>
          <t>Phase 1</t>
        </is>
      </c>
      <c r="C14" s="13">
        <f>COUNTIFS(Roadmap!B2:B87,B14,Roadmap!H2:H87,"Done")</f>
        <v/>
      </c>
      <c r="D14" s="13">
        <f>COUNTIF(Roadmap!B2:B87,B14)</f>
        <v/>
      </c>
      <c r="E14" s="13">
        <f>SUMIFS(Roadmap!I2:I87,Roadmap!B2:B87,B14)</f>
        <v/>
      </c>
      <c r="F14" s="13">
        <f>SUMIFS(Roadmap!G2:G87,Roadmap!B2:B87,B14)</f>
        <v/>
      </c>
    </row>
    <row r="15">
      <c r="B15" s="12" t="inlineStr">
        <is>
          <t>Phase 2</t>
        </is>
      </c>
      <c r="C15" s="13">
        <f>COUNTIFS(Roadmap!B2:B87,B15,Roadmap!H2:H87,"Done")</f>
        <v/>
      </c>
      <c r="D15" s="13">
        <f>COUNTIF(Roadmap!B2:B87,B15)</f>
        <v/>
      </c>
      <c r="E15" s="13">
        <f>SUMIFS(Roadmap!I2:I87,Roadmap!B2:B87,B15)</f>
        <v/>
      </c>
      <c r="F15" s="13">
        <f>SUMIFS(Roadmap!G2:G87,Roadmap!B2:B87,B15)</f>
        <v/>
      </c>
    </row>
    <row r="16">
      <c r="B16" s="12" t="inlineStr">
        <is>
          <t>Phase 3</t>
        </is>
      </c>
      <c r="C16" s="13">
        <f>COUNTIFS(Roadmap!B2:B87,B16,Roadmap!H2:H87,"Done")</f>
        <v/>
      </c>
      <c r="D16" s="13">
        <f>COUNTIF(Roadmap!B2:B87,B16)</f>
        <v/>
      </c>
      <c r="E16" s="13">
        <f>SUMIFS(Roadmap!I2:I87,Roadmap!B2:B87,B16)</f>
        <v/>
      </c>
      <c r="F16" s="13">
        <f>SUMIFS(Roadmap!G2:G87,Roadmap!B2:B87,B16)</f>
        <v/>
      </c>
    </row>
    <row r="17">
      <c r="B17" s="12" t="inlineStr">
        <is>
          <t>Phase 4</t>
        </is>
      </c>
      <c r="C17" s="13">
        <f>COUNTIFS(Roadmap!B2:B87,B17,Roadmap!H2:H87,"Done")</f>
        <v/>
      </c>
      <c r="D17" s="13">
        <f>COUNTIF(Roadmap!B2:B87,B17)</f>
        <v/>
      </c>
      <c r="E17" s="13">
        <f>SUMIFS(Roadmap!I2:I87,Roadmap!B2:B87,B17)</f>
        <v/>
      </c>
      <c r="F17" s="13">
        <f>SUMIFS(Roadmap!G2:G87,Roadmap!B2:B87,B17)</f>
        <v/>
      </c>
    </row>
    <row r="18">
      <c r="B18" s="12" t="inlineStr">
        <is>
          <t>Phase 5</t>
        </is>
      </c>
      <c r="C18" s="13">
        <f>COUNTIFS(Roadmap!B2:B87,B18,Roadmap!H2:H87,"Done")</f>
        <v/>
      </c>
      <c r="D18" s="13">
        <f>COUNTIF(Roadmap!B2:B87,B18)</f>
        <v/>
      </c>
      <c r="E18" s="13">
        <f>SUMIFS(Roadmap!I2:I87,Roadmap!B2:B87,B18)</f>
        <v/>
      </c>
      <c r="F18" s="13">
        <f>SUMIFS(Roadmap!G2:G87,Roadmap!B2:B87,B18)</f>
        <v/>
      </c>
    </row>
    <row r="19">
      <c r="B19" s="12" t="inlineStr">
        <is>
          <t>Phase 6</t>
        </is>
      </c>
      <c r="C19" s="13">
        <f>COUNTIFS(Roadmap!B2:B87,B19,Roadmap!H2:H87,"Done")</f>
        <v/>
      </c>
      <c r="D19" s="13">
        <f>COUNTIF(Roadmap!B2:B87,B19)</f>
        <v/>
      </c>
      <c r="E19" s="13">
        <f>SUMIFS(Roadmap!I2:I87,Roadmap!B2:B87,B19)</f>
        <v/>
      </c>
      <c r="F19" s="13">
        <f>SUMIFS(Roadmap!G2:G87,Roadmap!B2:B87,B19)</f>
        <v/>
      </c>
    </row>
    <row r="20">
      <c r="B20" s="12" t="inlineStr">
        <is>
          <t>Tracks</t>
        </is>
      </c>
      <c r="C20" s="13">
        <f>COUNTIFS(Roadmap!B2:B87,B20,Roadmap!H2:H87,"Done")</f>
        <v/>
      </c>
      <c r="D20" s="13">
        <f>COUNTIF(Roadmap!B2:B87,B20)</f>
        <v/>
      </c>
      <c r="E20" s="13">
        <f>SUMIFS(Roadmap!I2:I87,Roadmap!B2:B87,B20)</f>
        <v/>
      </c>
      <c r="F20" s="13">
        <f>SUMIFS(Roadmap!G2:G87,Roadmap!B2:B87,B20)</f>
        <v/>
      </c>
    </row>
    <row r="21">
      <c r="B21" s="12" t="inlineStr">
        <is>
          <t>Capstone</t>
        </is>
      </c>
      <c r="C21" s="13">
        <f>COUNTIFS(Roadmap!B2:B87,B21,Roadmap!H2:H87,"Done")</f>
        <v/>
      </c>
      <c r="D21" s="13">
        <f>COUNTIF(Roadmap!B2:B87,B21)</f>
        <v/>
      </c>
      <c r="E21" s="13">
        <f>SUMIFS(Roadmap!I2:I87,Roadmap!B2:B87,B21)</f>
        <v/>
      </c>
      <c r="F21" s="13">
        <f>SUMIFS(Roadmap!G2:G87,Roadmap!B2:B87,B21)</f>
        <v/>
      </c>
    </row>
    <row r="24">
      <c r="B24" s="10" t="inlineStr">
        <is>
          <t>PROGRESS BY TRACK</t>
        </is>
      </c>
    </row>
    <row r="25">
      <c r="B25" s="11" t="inlineStr">
        <is>
          <t>Track</t>
        </is>
      </c>
      <c r="C25" s="11" t="inlineStr">
        <is>
          <t>Tasks Done</t>
        </is>
      </c>
      <c r="D25" s="11" t="inlineStr">
        <is>
          <t>Task Count</t>
        </is>
      </c>
      <c r="E25" s="11" t="inlineStr">
        <is>
          <t>XP Earned</t>
        </is>
      </c>
      <c r="F25" s="11" t="inlineStr">
        <is>
          <t>XP Total</t>
        </is>
      </c>
    </row>
    <row r="26">
      <c r="B26" s="12" t="inlineStr">
        <is>
          <t>Core</t>
        </is>
      </c>
      <c r="C26" s="13">
        <f>COUNTIFS(Roadmap!C2:C87,B26,Roadmap!H2:H87,"Done")</f>
        <v/>
      </c>
      <c r="D26" s="13">
        <f>COUNTIF(Roadmap!C2:C87,B26)</f>
        <v/>
      </c>
      <c r="E26" s="13">
        <f>SUMIFS(Roadmap!I2:I87,Roadmap!C2:C87,B26)</f>
        <v/>
      </c>
      <c r="F26" s="13">
        <f>SUMIFS(Roadmap!G2:G87,Roadmap!C2:C87,B26)</f>
        <v/>
      </c>
    </row>
    <row r="27">
      <c r="B27" s="12" t="inlineStr">
        <is>
          <t>Technical</t>
        </is>
      </c>
      <c r="C27" s="13">
        <f>COUNTIFS(Roadmap!C2:C87,B27,Roadmap!H2:H87,"Done")</f>
        <v/>
      </c>
      <c r="D27" s="13">
        <f>COUNTIF(Roadmap!C2:C87,B27)</f>
        <v/>
      </c>
      <c r="E27" s="13">
        <f>SUMIFS(Roadmap!I2:I87,Roadmap!C2:C87,B27)</f>
        <v/>
      </c>
      <c r="F27" s="13">
        <f>SUMIFS(Roadmap!G2:G87,Roadmap!C2:C87,B27)</f>
        <v/>
      </c>
    </row>
    <row r="28">
      <c r="B28" s="12" t="inlineStr">
        <is>
          <t>Tradecraft</t>
        </is>
      </c>
      <c r="C28" s="13">
        <f>COUNTIFS(Roadmap!C2:C87,B28,Roadmap!H2:H87,"Done")</f>
        <v/>
      </c>
      <c r="D28" s="13">
        <f>COUNTIF(Roadmap!C2:C87,B28)</f>
        <v/>
      </c>
      <c r="E28" s="13">
        <f>SUMIFS(Roadmap!I2:I87,Roadmap!C2:C87,B28)</f>
        <v/>
      </c>
      <c r="F28" s="13">
        <f>SUMIFS(Roadmap!G2:G87,Roadmap!C2:C87,B28)</f>
        <v/>
      </c>
    </row>
    <row r="29">
      <c r="B29" s="12" t="inlineStr">
        <is>
          <t>Reporting</t>
        </is>
      </c>
      <c r="C29" s="13">
        <f>COUNTIFS(Roadmap!C2:C87,B29,Roadmap!H2:H87,"Done")</f>
        <v/>
      </c>
      <c r="D29" s="13">
        <f>COUNTIF(Roadmap!C2:C87,B29)</f>
        <v/>
      </c>
      <c r="E29" s="13">
        <f>SUMIFS(Roadmap!I2:I87,Roadmap!C2:C87,B29)</f>
        <v/>
      </c>
      <c r="F29" s="13">
        <f>SUMIFS(Roadmap!G2:G87,Roadmap!C2:C87,B29)</f>
        <v/>
      </c>
    </row>
    <row r="30">
      <c r="B30" s="12" t="inlineStr">
        <is>
          <t>Detection</t>
        </is>
      </c>
      <c r="C30" s="13">
        <f>COUNTIFS(Roadmap!C2:C87,B30,Roadmap!H2:H87,"Done")</f>
        <v/>
      </c>
      <c r="D30" s="13">
        <f>COUNTIF(Roadmap!C2:C87,B30)</f>
        <v/>
      </c>
      <c r="E30" s="13">
        <f>SUMIFS(Roadmap!I2:I87,Roadmap!C2:C87,B30)</f>
        <v/>
      </c>
      <c r="F30" s="13">
        <f>SUMIFS(Roadmap!G2:G87,Roadmap!C2:C87,B30)</f>
        <v/>
      </c>
    </row>
    <row r="31">
      <c r="B31" s="12" t="inlineStr">
        <is>
          <t>Purple</t>
        </is>
      </c>
      <c r="C31" s="13">
        <f>COUNTIFS(Roadmap!C2:C87,B31,Roadmap!H2:H87,"Done")</f>
        <v/>
      </c>
      <c r="D31" s="13">
        <f>COUNTIF(Roadmap!C2:C87,B31)</f>
        <v/>
      </c>
      <c r="E31" s="13">
        <f>SUMIFS(Roadmap!I2:I87,Roadmap!C2:C87,B31)</f>
        <v/>
      </c>
      <c r="F31" s="13">
        <f>SUMIFS(Roadmap!G2:G87,Roadmap!C2:C87,B31)</f>
        <v/>
      </c>
    </row>
    <row r="33">
      <c r="B33" s="14" t="inlineStr">
        <is>
          <t>How to use: mark Status = 'Done' on the Roadmap tab. Earned XP, level, rank and all charts update automatically.</t>
        </is>
      </c>
    </row>
  </sheetData>
  <mergeCells count="4">
    <mergeCell ref="B33:F33"/>
    <mergeCell ref="C9:F9"/>
    <mergeCell ref="B12:F12"/>
    <mergeCell ref="B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70" customWidth="1" min="5" max="5"/>
    <col width="11" customWidth="1" min="6" max="6"/>
    <col width="7" customWidth="1" min="7" max="7"/>
    <col width="13" customWidth="1" min="8" max="8"/>
    <col width="11" customWidth="1" min="9" max="9"/>
    <col width="13" customWidth="1" min="10" max="10"/>
    <col width="30" customWidth="1" min="11" max="11"/>
  </cols>
  <sheetData>
    <row r="1">
      <c r="A1" s="15" t="inlineStr">
        <is>
          <t>ID</t>
        </is>
      </c>
      <c r="B1" s="15" t="inlineStr">
        <is>
          <t>Phase</t>
        </is>
      </c>
      <c r="C1" s="15" t="inlineStr">
        <is>
          <t>Track</t>
        </is>
      </c>
      <c r="D1" s="15" t="inlineStr">
        <is>
          <t>Category</t>
        </is>
      </c>
      <c r="E1" s="15" t="inlineStr">
        <is>
          <t>Task</t>
        </is>
      </c>
      <c r="F1" s="15" t="inlineStr">
        <is>
          <t>Difficulty</t>
        </is>
      </c>
      <c r="G1" s="15" t="inlineStr">
        <is>
          <t>XP</t>
        </is>
      </c>
      <c r="H1" s="15" t="inlineStr">
        <is>
          <t>Status</t>
        </is>
      </c>
      <c r="I1" s="15" t="inlineStr">
        <is>
          <t>Earned XP</t>
        </is>
      </c>
      <c r="J1" s="15" t="inlineStr">
        <is>
          <t>Date Done</t>
        </is>
      </c>
      <c r="K1" s="15" t="inlineStr">
        <is>
          <t>Notes</t>
        </is>
      </c>
    </row>
    <row r="2">
      <c r="A2" s="16" t="inlineStr">
        <is>
          <t>P1-01</t>
        </is>
      </c>
      <c r="B2" s="17" t="inlineStr">
        <is>
          <t>Phase 1</t>
        </is>
      </c>
      <c r="C2" s="17" t="inlineStr">
        <is>
          <t>Core</t>
        </is>
      </c>
      <c r="D2" s="17" t="inlineStr">
        <is>
          <t>Learn</t>
        </is>
      </c>
      <c r="E2" s="18" t="inlineStr">
        <is>
          <t>Windows internals primitives: processes/threads, tokens &amp; impersonation, integrity levels, UAC, LSASS, DPAPI, PPL</t>
        </is>
      </c>
      <c r="F2" s="17" t="inlineStr">
        <is>
          <t>★★★</t>
        </is>
      </c>
      <c r="G2" s="17" t="n">
        <v>120</v>
      </c>
      <c r="H2" s="17" t="inlineStr">
        <is>
          <t>Not Started</t>
        </is>
      </c>
      <c r="I2" s="17">
        <f>IF(H2="Done",G2,0)</f>
        <v/>
      </c>
      <c r="J2" s="17" t="inlineStr"/>
      <c r="K2" s="19" t="inlineStr"/>
    </row>
    <row r="3">
      <c r="A3" s="16" t="inlineStr">
        <is>
          <t>P1-02</t>
        </is>
      </c>
      <c r="B3" s="17" t="inlineStr">
        <is>
          <t>Phase 1</t>
        </is>
      </c>
      <c r="C3" s="17" t="inlineStr">
        <is>
          <t>Detection</t>
        </is>
      </c>
      <c r="D3" s="17" t="inlineStr">
        <is>
          <t>Learn</t>
        </is>
      </c>
      <c r="E3" s="18" t="inlineStr">
        <is>
          <t>Windows telemetry map: Security/Sysmon events, ETW, AMSI, WLDP, kernel callbacks (conceptual)</t>
        </is>
      </c>
      <c r="F3" s="17" t="inlineStr">
        <is>
          <t>★★★</t>
        </is>
      </c>
      <c r="G3" s="17" t="n">
        <v>120</v>
      </c>
      <c r="H3" s="17" t="inlineStr">
        <is>
          <t>Not Started</t>
        </is>
      </c>
      <c r="I3" s="17">
        <f>IF(H3="Done",G3,0)</f>
        <v/>
      </c>
      <c r="J3" s="17" t="inlineStr"/>
      <c r="K3" s="19" t="inlineStr"/>
    </row>
    <row r="4">
      <c r="A4" s="16" t="inlineStr">
        <is>
          <t>P1-03</t>
        </is>
      </c>
      <c r="B4" s="17" t="inlineStr">
        <is>
          <t>Phase 1</t>
        </is>
      </c>
      <c r="C4" s="17" t="inlineStr">
        <is>
          <t>Technical</t>
        </is>
      </c>
      <c r="D4" s="17" t="inlineStr">
        <is>
          <t>Learn</t>
        </is>
      </c>
      <c r="E4" s="18" t="inlineStr">
        <is>
          <t>PowerShell &amp; .NET tooling fluency (read AND write tooling, not one-liners)</t>
        </is>
      </c>
      <c r="F4" s="17" t="inlineStr">
        <is>
          <t>★★</t>
        </is>
      </c>
      <c r="G4" s="17" t="n">
        <v>100</v>
      </c>
      <c r="H4" s="17" t="inlineStr">
        <is>
          <t>Not Started</t>
        </is>
      </c>
      <c r="I4" s="17">
        <f>IF(H4="Done",G4,0)</f>
        <v/>
      </c>
      <c r="J4" s="17" t="inlineStr"/>
      <c r="K4" s="19" t="inlineStr"/>
    </row>
    <row r="5">
      <c r="A5" s="16" t="inlineStr">
        <is>
          <t>P1-04</t>
        </is>
      </c>
      <c r="B5" s="17" t="inlineStr">
        <is>
          <t>Phase 1</t>
        </is>
      </c>
      <c r="C5" s="17" t="inlineStr">
        <is>
          <t>Technical</t>
        </is>
      </c>
      <c r="D5" s="17" t="inlineStr">
        <is>
          <t>Learn</t>
        </is>
      </c>
      <c r="E5" s="18" t="inlineStr">
        <is>
          <t>C# read-fluency + C basics: pointers, structs, calling conventions (Phase 3 gate)</t>
        </is>
      </c>
      <c r="F5" s="17" t="inlineStr">
        <is>
          <t>★★★</t>
        </is>
      </c>
      <c r="G5" s="17" t="n">
        <v>150</v>
      </c>
      <c r="H5" s="17" t="inlineStr">
        <is>
          <t>Not Started</t>
        </is>
      </c>
      <c r="I5" s="17">
        <f>IF(H5="Done",G5,0)</f>
        <v/>
      </c>
      <c r="J5" s="17" t="inlineStr"/>
      <c r="K5" s="19" t="inlineStr"/>
    </row>
    <row r="6">
      <c r="A6" s="16" t="inlineStr">
        <is>
          <t>P1-05</t>
        </is>
      </c>
      <c r="B6" s="17" t="inlineStr">
        <is>
          <t>Phase 1</t>
        </is>
      </c>
      <c r="C6" s="17" t="inlineStr">
        <is>
          <t>Core</t>
        </is>
      </c>
      <c r="D6" s="17" t="inlineStr">
        <is>
          <t>Learn</t>
        </is>
      </c>
      <c r="E6" s="18" t="inlineStr">
        <is>
          <t>AD 101 done properly: domain/forest/trusts, Kerberos vs NTLM, LDAP, GPO, DNS</t>
        </is>
      </c>
      <c r="F6" s="17" t="inlineStr">
        <is>
          <t>★★★</t>
        </is>
      </c>
      <c r="G6" s="17" t="n">
        <v>120</v>
      </c>
      <c r="H6" s="17" t="inlineStr">
        <is>
          <t>Not Started</t>
        </is>
      </c>
      <c r="I6" s="17">
        <f>IF(H6="Done",G6,0)</f>
        <v/>
      </c>
      <c r="J6" s="17" t="inlineStr"/>
      <c r="K6" s="19" t="inlineStr"/>
    </row>
    <row r="7">
      <c r="A7" s="16" t="inlineStr">
        <is>
          <t>P1-06</t>
        </is>
      </c>
      <c r="B7" s="17" t="inlineStr">
        <is>
          <t>Phase 1</t>
        </is>
      </c>
      <c r="C7" s="17" t="inlineStr">
        <is>
          <t>Core</t>
        </is>
      </c>
      <c r="D7" s="17" t="inlineStr">
        <is>
          <t>Lab</t>
        </is>
      </c>
      <c r="E7" s="18" t="inlineStr">
        <is>
          <t>Build hypervisor lab: DC + 2-3 workstations + Linux box, snapshots enabled</t>
        </is>
      </c>
      <c r="F7" s="17" t="inlineStr">
        <is>
          <t>★★</t>
        </is>
      </c>
      <c r="G7" s="17" t="n">
        <v>250</v>
      </c>
      <c r="H7" s="17" t="inlineStr">
        <is>
          <t>Not Started</t>
        </is>
      </c>
      <c r="I7" s="17">
        <f>IF(H7="Done",G7,0)</f>
        <v/>
      </c>
      <c r="J7" s="17" t="inlineStr"/>
      <c r="K7" s="19" t="inlineStr"/>
    </row>
    <row r="8">
      <c r="A8" s="16" t="inlineStr">
        <is>
          <t>P1-07</t>
        </is>
      </c>
      <c r="B8" s="17" t="inlineStr">
        <is>
          <t>Phase 1</t>
        </is>
      </c>
      <c r="C8" s="17" t="inlineStr">
        <is>
          <t>Detection</t>
        </is>
      </c>
      <c r="D8" s="17" t="inlineStr">
        <is>
          <t>Lab</t>
        </is>
      </c>
      <c r="E8" s="18" t="inlineStr">
        <is>
          <t>Install Sysmon (SwiftOnSecurity config) + ship logs to Wazuh/Elastic SIEM</t>
        </is>
      </c>
      <c r="F8" s="17" t="inlineStr">
        <is>
          <t>★★★</t>
        </is>
      </c>
      <c r="G8" s="17" t="n">
        <v>200</v>
      </c>
      <c r="H8" s="17" t="inlineStr">
        <is>
          <t>Not Started</t>
        </is>
      </c>
      <c r="I8" s="17">
        <f>IF(H8="Done",G8,0)</f>
        <v/>
      </c>
      <c r="J8" s="17" t="inlineStr"/>
      <c r="K8" s="19" t="inlineStr"/>
    </row>
    <row r="9">
      <c r="A9" s="16" t="inlineStr">
        <is>
          <t>P1-08</t>
        </is>
      </c>
      <c r="B9" s="17" t="inlineStr">
        <is>
          <t>Phase 1</t>
        </is>
      </c>
      <c r="C9" s="17" t="inlineStr">
        <is>
          <t>Core</t>
        </is>
      </c>
      <c r="D9" s="17" t="inlineStr">
        <is>
          <t>Lab</t>
        </is>
      </c>
      <c r="E9" s="18" t="inlineStr">
        <is>
          <t>Provision GOAD; map with BloodHound; explain every edge in English</t>
        </is>
      </c>
      <c r="F9" s="17" t="inlineStr">
        <is>
          <t>★★★</t>
        </is>
      </c>
      <c r="G9" s="17" t="n">
        <v>250</v>
      </c>
      <c r="H9" s="17" t="inlineStr">
        <is>
          <t>Not Started</t>
        </is>
      </c>
      <c r="I9" s="17">
        <f>IF(H9="Done",G9,0)</f>
        <v/>
      </c>
      <c r="J9" s="17" t="inlineStr"/>
      <c r="K9" s="19" t="inlineStr"/>
    </row>
    <row r="10">
      <c r="A10" s="16" t="inlineStr">
        <is>
          <t>P1-09</t>
        </is>
      </c>
      <c r="B10" s="17" t="inlineStr">
        <is>
          <t>Phase 1</t>
        </is>
      </c>
      <c r="C10" s="17" t="inlineStr">
        <is>
          <t>Core</t>
        </is>
      </c>
      <c r="D10" s="17" t="inlineStr">
        <is>
          <t>Exercise</t>
        </is>
      </c>
      <c r="E10" s="18" t="inlineStr">
        <is>
          <t>Dump &amp; diff process tokens; escalate integrity level manually</t>
        </is>
      </c>
      <c r="F10" s="17" t="inlineStr">
        <is>
          <t>★★</t>
        </is>
      </c>
      <c r="G10" s="17" t="n">
        <v>100</v>
      </c>
      <c r="H10" s="17" t="inlineStr">
        <is>
          <t>Not Started</t>
        </is>
      </c>
      <c r="I10" s="17">
        <f>IF(H10="Done",G10,0)</f>
        <v/>
      </c>
      <c r="J10" s="17" t="inlineStr"/>
      <c r="K10" s="19" t="inlineStr"/>
    </row>
    <row r="11">
      <c r="A11" s="16" t="inlineStr">
        <is>
          <t>P1-10</t>
        </is>
      </c>
      <c r="B11" s="17" t="inlineStr">
        <is>
          <t>Phase 1</t>
        </is>
      </c>
      <c r="C11" s="17" t="inlineStr">
        <is>
          <t>Detection</t>
        </is>
      </c>
      <c r="D11" s="17" t="inlineStr">
        <is>
          <t>Exercise</t>
        </is>
      </c>
      <c r="E11" s="18" t="inlineStr">
        <is>
          <t>Trigger AMSI on a known-bad string; watch the event fire in your SIEM</t>
        </is>
      </c>
      <c r="F11" s="17" t="inlineStr">
        <is>
          <t>★★</t>
        </is>
      </c>
      <c r="G11" s="17" t="n">
        <v>100</v>
      </c>
      <c r="H11" s="17" t="inlineStr">
        <is>
          <t>Not Started</t>
        </is>
      </c>
      <c r="I11" s="17">
        <f>IF(H11="Done",G11,0)</f>
        <v/>
      </c>
      <c r="J11" s="17" t="inlineStr"/>
      <c r="K11" s="19" t="inlineStr"/>
    </row>
    <row r="12">
      <c r="A12" s="16" t="inlineStr">
        <is>
          <t>P1-11</t>
        </is>
      </c>
      <c r="B12" s="17" t="inlineStr">
        <is>
          <t>Phase 1</t>
        </is>
      </c>
      <c r="C12" s="17" t="inlineStr">
        <is>
          <t>Technical</t>
        </is>
      </c>
      <c r="D12" s="17" t="inlineStr">
        <is>
          <t>Exercise</t>
        </is>
      </c>
      <c r="E12" s="18" t="inlineStr">
        <is>
          <t>Write a C# tool that lists processes via P/Invoke (not System.Diagnostics)</t>
        </is>
      </c>
      <c r="F12" s="17" t="inlineStr">
        <is>
          <t>★★★</t>
        </is>
      </c>
      <c r="G12" s="17" t="n">
        <v>150</v>
      </c>
      <c r="H12" s="17" t="inlineStr">
        <is>
          <t>Not Started</t>
        </is>
      </c>
      <c r="I12" s="17">
        <f>IF(H12="Done",G12,0)</f>
        <v/>
      </c>
      <c r="J12" s="17" t="inlineStr"/>
      <c r="K12" s="19" t="inlineStr"/>
    </row>
    <row r="13">
      <c r="A13" s="16" t="inlineStr">
        <is>
          <t>P1-12</t>
        </is>
      </c>
      <c r="B13" s="17" t="inlineStr">
        <is>
          <t>Phase 1</t>
        </is>
      </c>
      <c r="C13" s="17" t="inlineStr">
        <is>
          <t>Core</t>
        </is>
      </c>
      <c r="D13" s="17" t="inlineStr">
        <is>
          <t>Assessment</t>
        </is>
      </c>
      <c r="E13" s="18" t="inlineStr">
        <is>
          <t>GATE: Explain Kerberos TGT/TGS exchange + where each attack plugs in (no notes)</t>
        </is>
      </c>
      <c r="F13" s="17" t="inlineStr">
        <is>
          <t>★★★</t>
        </is>
      </c>
      <c r="G13" s="17" t="n">
        <v>300</v>
      </c>
      <c r="H13" s="17" t="inlineStr">
        <is>
          <t>Not Started</t>
        </is>
      </c>
      <c r="I13" s="17">
        <f>IF(H13="Done",G13,0)</f>
        <v/>
      </c>
      <c r="J13" s="17" t="inlineStr"/>
      <c r="K13" s="19" t="inlineStr"/>
    </row>
    <row r="14">
      <c r="A14" s="16" t="inlineStr">
        <is>
          <t>P1-13</t>
        </is>
      </c>
      <c r="B14" s="17" t="inlineStr">
        <is>
          <t>Phase 1</t>
        </is>
      </c>
      <c r="C14" s="17" t="inlineStr">
        <is>
          <t>Core</t>
        </is>
      </c>
      <c r="D14" s="17" t="inlineStr">
        <is>
          <t>Assessment</t>
        </is>
      </c>
      <c r="E14" s="18" t="inlineStr">
        <is>
          <t>GATE: Read your own SIEM events + compile your own P/Invoke tool</t>
        </is>
      </c>
      <c r="F14" s="17" t="inlineStr">
        <is>
          <t>★★★</t>
        </is>
      </c>
      <c r="G14" s="17" t="n">
        <v>300</v>
      </c>
      <c r="H14" s="17" t="inlineStr">
        <is>
          <t>Not Started</t>
        </is>
      </c>
      <c r="I14" s="17">
        <f>IF(H14="Done",G14,0)</f>
        <v/>
      </c>
      <c r="J14" s="17" t="inlineStr"/>
      <c r="K14" s="19" t="inlineStr"/>
    </row>
    <row r="15">
      <c r="A15" s="16" t="inlineStr">
        <is>
          <t>P2-01</t>
        </is>
      </c>
      <c r="B15" s="17" t="inlineStr">
        <is>
          <t>Phase 2</t>
        </is>
      </c>
      <c r="C15" s="17" t="inlineStr">
        <is>
          <t>Core</t>
        </is>
      </c>
      <c r="D15" s="17" t="inlineStr">
        <is>
          <t>Learn</t>
        </is>
      </c>
      <c r="E15" s="18" t="inlineStr">
        <is>
          <t>Discovery: SharpHound/BloodHound, LDAP recon, GPO/ACL enumeration, session hunting</t>
        </is>
      </c>
      <c r="F15" s="17" t="inlineStr">
        <is>
          <t>★★★</t>
        </is>
      </c>
      <c r="G15" s="17" t="n">
        <v>120</v>
      </c>
      <c r="H15" s="17" t="inlineStr">
        <is>
          <t>Not Started</t>
        </is>
      </c>
      <c r="I15" s="17">
        <f>IF(H15="Done",G15,0)</f>
        <v/>
      </c>
      <c r="J15" s="17" t="inlineStr"/>
      <c r="K15" s="19" t="inlineStr"/>
    </row>
    <row r="16">
      <c r="A16" s="16" t="inlineStr">
        <is>
          <t>P2-02</t>
        </is>
      </c>
      <c r="B16" s="17" t="inlineStr">
        <is>
          <t>Phase 2</t>
        </is>
      </c>
      <c r="C16" s="17" t="inlineStr">
        <is>
          <t>Core</t>
        </is>
      </c>
      <c r="D16" s="17" t="inlineStr">
        <is>
          <t>Learn</t>
        </is>
      </c>
      <c r="E16" s="18" t="inlineStr">
        <is>
          <t>Credential access: Kerberoast, AS-REP roast, DCSync, LSASS/DPAPI/SAM extraction</t>
        </is>
      </c>
      <c r="F16" s="17" t="inlineStr">
        <is>
          <t>★★★★</t>
        </is>
      </c>
      <c r="G16" s="17" t="n">
        <v>150</v>
      </c>
      <c r="H16" s="17" t="inlineStr">
        <is>
          <t>Not Started</t>
        </is>
      </c>
      <c r="I16" s="17">
        <f>IF(H16="Done",G16,0)</f>
        <v/>
      </c>
      <c r="J16" s="17" t="inlineStr"/>
      <c r="K16" s="19" t="inlineStr"/>
    </row>
    <row r="17">
      <c r="A17" s="16" t="inlineStr">
        <is>
          <t>P2-03</t>
        </is>
      </c>
      <c r="B17" s="17" t="inlineStr">
        <is>
          <t>Phase 2</t>
        </is>
      </c>
      <c r="C17" s="17" t="inlineStr">
        <is>
          <t>Core</t>
        </is>
      </c>
      <c r="D17" s="17" t="inlineStr">
        <is>
          <t>Learn</t>
        </is>
      </c>
      <c r="E17" s="18" t="inlineStr">
        <is>
          <t>Priv-esc: ACL abuse (GenericAll/WriteDACL), constrained/unconstrained/RBCD delegation, GPO abuse</t>
        </is>
      </c>
      <c r="F17" s="17" t="inlineStr">
        <is>
          <t>★★★★</t>
        </is>
      </c>
      <c r="G17" s="17" t="n">
        <v>150</v>
      </c>
      <c r="H17" s="17" t="inlineStr">
        <is>
          <t>Not Started</t>
        </is>
      </c>
      <c r="I17" s="17">
        <f>IF(H17="Done",G17,0)</f>
        <v/>
      </c>
      <c r="J17" s="17" t="inlineStr"/>
      <c r="K17" s="19" t="inlineStr"/>
    </row>
    <row r="18">
      <c r="A18" s="16" t="inlineStr">
        <is>
          <t>P2-04</t>
        </is>
      </c>
      <c r="B18" s="17" t="inlineStr">
        <is>
          <t>Phase 2</t>
        </is>
      </c>
      <c r="C18" s="17" t="inlineStr">
        <is>
          <t>Core</t>
        </is>
      </c>
      <c r="D18" s="17" t="inlineStr">
        <is>
          <t>Learn</t>
        </is>
      </c>
      <c r="E18" s="18" t="inlineStr">
        <is>
          <t>ADCS ESC1-ESC14 certificate attack family (know these cold)</t>
        </is>
      </c>
      <c r="F18" s="17" t="inlineStr">
        <is>
          <t>★★★★★</t>
        </is>
      </c>
      <c r="G18" s="17" t="n">
        <v>250</v>
      </c>
      <c r="H18" s="17" t="inlineStr">
        <is>
          <t>Not Started</t>
        </is>
      </c>
      <c r="I18" s="17">
        <f>IF(H18="Done",G18,0)</f>
        <v/>
      </c>
      <c r="J18" s="17" t="inlineStr"/>
      <c r="K18" s="19" t="inlineStr"/>
    </row>
    <row r="19">
      <c r="A19" s="16" t="inlineStr">
        <is>
          <t>P2-05</t>
        </is>
      </c>
      <c r="B19" s="17" t="inlineStr">
        <is>
          <t>Phase 2</t>
        </is>
      </c>
      <c r="C19" s="17" t="inlineStr">
        <is>
          <t>Core</t>
        </is>
      </c>
      <c r="D19" s="17" t="inlineStr">
        <is>
          <t>Learn</t>
        </is>
      </c>
      <c r="E19" s="18" t="inlineStr">
        <is>
          <t>Lateral movement: PtH, PtT, overpass-the-hash, WMI/WinRM/PsExec/SMB/DCOM exec</t>
        </is>
      </c>
      <c r="F19" s="17" t="inlineStr">
        <is>
          <t>★★★</t>
        </is>
      </c>
      <c r="G19" s="17" t="n">
        <v>150</v>
      </c>
      <c r="H19" s="17" t="inlineStr">
        <is>
          <t>Not Started</t>
        </is>
      </c>
      <c r="I19" s="17">
        <f>IF(H19="Done",G19,0)</f>
        <v/>
      </c>
      <c r="J19" s="17" t="inlineStr"/>
      <c r="K19" s="19" t="inlineStr"/>
    </row>
    <row r="20">
      <c r="A20" s="16" t="inlineStr">
        <is>
          <t>P2-06</t>
        </is>
      </c>
      <c r="B20" s="17" t="inlineStr">
        <is>
          <t>Phase 2</t>
        </is>
      </c>
      <c r="C20" s="17" t="inlineStr">
        <is>
          <t>Core</t>
        </is>
      </c>
      <c r="D20" s="17" t="inlineStr">
        <is>
          <t>Learn</t>
        </is>
      </c>
      <c r="E20" s="18" t="inlineStr">
        <is>
          <t>Persistence: Golden/Silver/Diamond tickets, AdminSDHolder, DCSync rights, cert persistence</t>
        </is>
      </c>
      <c r="F20" s="17" t="inlineStr">
        <is>
          <t>★★★★</t>
        </is>
      </c>
      <c r="G20" s="17" t="n">
        <v>150</v>
      </c>
      <c r="H20" s="17" t="inlineStr">
        <is>
          <t>Not Started</t>
        </is>
      </c>
      <c r="I20" s="17">
        <f>IF(H20="Done",G20,0)</f>
        <v/>
      </c>
      <c r="J20" s="17" t="inlineStr"/>
      <c r="K20" s="19" t="inlineStr"/>
    </row>
    <row r="21">
      <c r="A21" s="16" t="inlineStr">
        <is>
          <t>P2-07</t>
        </is>
      </c>
      <c r="B21" s="17" t="inlineStr">
        <is>
          <t>Phase 2</t>
        </is>
      </c>
      <c r="C21" s="17" t="inlineStr">
        <is>
          <t>Core</t>
        </is>
      </c>
      <c r="D21" s="17" t="inlineStr">
        <is>
          <t>Learn</t>
        </is>
      </c>
      <c r="E21" s="18" t="inlineStr">
        <is>
          <t>Trusts: intra/cross-forest attack paths, SID history, trust key abuse</t>
        </is>
      </c>
      <c r="F21" s="17" t="inlineStr">
        <is>
          <t>★★★★</t>
        </is>
      </c>
      <c r="G21" s="17" t="n">
        <v>150</v>
      </c>
      <c r="H21" s="17" t="inlineStr">
        <is>
          <t>Not Started</t>
        </is>
      </c>
      <c r="I21" s="17">
        <f>IF(H21="Done",G21,0)</f>
        <v/>
      </c>
      <c r="J21" s="17" t="inlineStr"/>
      <c r="K21" s="19" t="inlineStr"/>
    </row>
    <row r="22">
      <c r="A22" s="16" t="inlineStr">
        <is>
          <t>P2-08</t>
        </is>
      </c>
      <c r="B22" s="17" t="inlineStr">
        <is>
          <t>Phase 2</t>
        </is>
      </c>
      <c r="C22" s="17" t="inlineStr">
        <is>
          <t>Detection</t>
        </is>
      </c>
      <c r="D22" s="17" t="inlineStr">
        <is>
          <t>Lab</t>
        </is>
      </c>
      <c r="E22" s="18" t="inlineStr">
        <is>
          <t>GOAD full chain (foothold-&gt;roast-&gt;ACL-&gt;DCSync) WHILE SIEM records, then write the detections</t>
        </is>
      </c>
      <c r="F22" s="17" t="inlineStr">
        <is>
          <t>★★★★</t>
        </is>
      </c>
      <c r="G22" s="17" t="n">
        <v>350</v>
      </c>
      <c r="H22" s="17" t="inlineStr">
        <is>
          <t>Not Started</t>
        </is>
      </c>
      <c r="I22" s="17">
        <f>IF(H22="Done",G22,0)</f>
        <v/>
      </c>
      <c r="J22" s="17" t="inlineStr"/>
      <c r="K22" s="19" t="inlineStr"/>
    </row>
    <row r="23">
      <c r="A23" s="16" t="inlineStr">
        <is>
          <t>P2-09</t>
        </is>
      </c>
      <c r="B23" s="17" t="inlineStr">
        <is>
          <t>Phase 2</t>
        </is>
      </c>
      <c r="C23" s="17" t="inlineStr">
        <is>
          <t>Core</t>
        </is>
      </c>
      <c r="D23" s="17" t="inlineStr">
        <is>
          <t>Lab</t>
        </is>
      </c>
      <c r="E23" s="18" t="inlineStr">
        <is>
          <t>HTB Pro Lab: Dante (methodology warm-up)</t>
        </is>
      </c>
      <c r="F23" s="17" t="inlineStr">
        <is>
          <t>★★</t>
        </is>
      </c>
      <c r="G23" s="17" t="n">
        <v>300</v>
      </c>
      <c r="H23" s="17" t="inlineStr">
        <is>
          <t>Not Started</t>
        </is>
      </c>
      <c r="I23" s="17">
        <f>IF(H23="Done",G23,0)</f>
        <v/>
      </c>
      <c r="J23" s="17" t="inlineStr"/>
      <c r="K23" s="19" t="inlineStr"/>
    </row>
    <row r="24">
      <c r="A24" s="16" t="inlineStr">
        <is>
          <t>P2-10</t>
        </is>
      </c>
      <c r="B24" s="17" t="inlineStr">
        <is>
          <t>Phase 2</t>
        </is>
      </c>
      <c r="C24" s="17" t="inlineStr">
        <is>
          <t>Core</t>
        </is>
      </c>
      <c r="D24" s="17" t="inlineStr">
        <is>
          <t>Lab</t>
        </is>
      </c>
      <c r="E24" s="18" t="inlineStr">
        <is>
          <t>HTB Pro Lab: Zephyr (intermediate AD red-team sim)</t>
        </is>
      </c>
      <c r="F24" s="17" t="inlineStr">
        <is>
          <t>★★★★</t>
        </is>
      </c>
      <c r="G24" s="17" t="n">
        <v>400</v>
      </c>
      <c r="H24" s="17" t="inlineStr">
        <is>
          <t>Not Started</t>
        </is>
      </c>
      <c r="I24" s="17">
        <f>IF(H24="Done",G24,0)</f>
        <v/>
      </c>
      <c r="J24" s="17" t="inlineStr"/>
      <c r="K24" s="19" t="inlineStr"/>
    </row>
    <row r="25">
      <c r="A25" s="16" t="inlineStr">
        <is>
          <t>P2-11</t>
        </is>
      </c>
      <c r="B25" s="17" t="inlineStr">
        <is>
          <t>Phase 2</t>
        </is>
      </c>
      <c r="C25" s="17" t="inlineStr">
        <is>
          <t>Core</t>
        </is>
      </c>
      <c r="D25" s="17" t="inlineStr">
        <is>
          <t>Exercise</t>
        </is>
      </c>
      <c r="E25" s="18" t="inlineStr">
        <is>
          <t>Execute one ADCS ESC path (ESC1 or ESC8) end-to-end with Certipy</t>
        </is>
      </c>
      <c r="F25" s="17" t="inlineStr">
        <is>
          <t>★★★★</t>
        </is>
      </c>
      <c r="G25" s="17" t="n">
        <v>200</v>
      </c>
      <c r="H25" s="17" t="inlineStr">
        <is>
          <t>Not Started</t>
        </is>
      </c>
      <c r="I25" s="17">
        <f>IF(H25="Done",G25,0)</f>
        <v/>
      </c>
      <c r="J25" s="17" t="inlineStr"/>
      <c r="K25" s="19" t="inlineStr"/>
    </row>
    <row r="26">
      <c r="A26" s="16" t="inlineStr">
        <is>
          <t>P2-12</t>
        </is>
      </c>
      <c r="B26" s="17" t="inlineStr">
        <is>
          <t>Phase 2</t>
        </is>
      </c>
      <c r="C26" s="17" t="inlineStr">
        <is>
          <t>Core</t>
        </is>
      </c>
      <c r="D26" s="17" t="inlineStr">
        <is>
          <t>Exercise</t>
        </is>
      </c>
      <c r="E26" s="18" t="inlineStr">
        <is>
          <t>Cross-forest compromise via trust abuse</t>
        </is>
      </c>
      <c r="F26" s="17" t="inlineStr">
        <is>
          <t>★★★★</t>
        </is>
      </c>
      <c r="G26" s="17" t="n">
        <v>200</v>
      </c>
      <c r="H26" s="17" t="inlineStr">
        <is>
          <t>Not Started</t>
        </is>
      </c>
      <c r="I26" s="17">
        <f>IF(H26="Done",G26,0)</f>
        <v/>
      </c>
      <c r="J26" s="17" t="inlineStr"/>
      <c r="K26" s="19" t="inlineStr"/>
    </row>
    <row r="27">
      <c r="A27" s="16" t="inlineStr">
        <is>
          <t>P2-13</t>
        </is>
      </c>
      <c r="B27" s="17" t="inlineStr">
        <is>
          <t>Phase 2</t>
        </is>
      </c>
      <c r="C27" s="17" t="inlineStr">
        <is>
          <t>Core</t>
        </is>
      </c>
      <c r="D27" s="17" t="inlineStr">
        <is>
          <t>Exercise</t>
        </is>
      </c>
      <c r="E27" s="18" t="inlineStr">
        <is>
          <t>Complete a full lab with NO Metasploit and NO mimikatz easy button (Rubeus/Certipy/impacket)</t>
        </is>
      </c>
      <c r="F27" s="17" t="inlineStr">
        <is>
          <t>★★★★</t>
        </is>
      </c>
      <c r="G27" s="17" t="n">
        <v>250</v>
      </c>
      <c r="H27" s="17" t="inlineStr">
        <is>
          <t>Not Started</t>
        </is>
      </c>
      <c r="I27" s="17">
        <f>IF(H27="Done",G27,0)</f>
        <v/>
      </c>
      <c r="J27" s="17" t="inlineStr"/>
      <c r="K27" s="19" t="inlineStr"/>
    </row>
    <row r="28">
      <c r="A28" s="16" t="inlineStr">
        <is>
          <t>P2-14</t>
        </is>
      </c>
      <c r="B28" s="17" t="inlineStr">
        <is>
          <t>Phase 2</t>
        </is>
      </c>
      <c r="C28" s="17" t="inlineStr">
        <is>
          <t>Core</t>
        </is>
      </c>
      <c r="D28" s="17" t="inlineStr">
        <is>
          <t>Assessment</t>
        </is>
      </c>
      <c r="E28" s="18" t="inlineStr">
        <is>
          <t>Own a fresh unseen AD lab UNASSISTED + produce path diagram + remediation</t>
        </is>
      </c>
      <c r="F28" s="17" t="inlineStr">
        <is>
          <t>★★★★★</t>
        </is>
      </c>
      <c r="G28" s="17" t="n">
        <v>400</v>
      </c>
      <c r="H28" s="17" t="inlineStr">
        <is>
          <t>Not Started</t>
        </is>
      </c>
      <c r="I28" s="17">
        <f>IF(H28="Done",G28,0)</f>
        <v/>
      </c>
      <c r="J28" s="17" t="inlineStr"/>
      <c r="K28" s="19" t="inlineStr"/>
    </row>
    <row r="29">
      <c r="A29" s="16" t="inlineStr">
        <is>
          <t>P2-15</t>
        </is>
      </c>
      <c r="B29" s="17" t="inlineStr">
        <is>
          <t>Phase 2</t>
        </is>
      </c>
      <c r="C29" s="17" t="inlineStr">
        <is>
          <t>Core</t>
        </is>
      </c>
      <c r="D29" s="17" t="inlineStr">
        <is>
          <t>Milestone</t>
        </is>
      </c>
      <c r="E29" s="18" t="inlineStr">
        <is>
          <t>MILESTONE: Pass CRTP (Altered Security)</t>
        </is>
      </c>
      <c r="F29" s="17" t="inlineStr">
        <is>
          <t>★★★★★</t>
        </is>
      </c>
      <c r="G29" s="17" t="n">
        <v>800</v>
      </c>
      <c r="H29" s="17" t="inlineStr">
        <is>
          <t>Not Started</t>
        </is>
      </c>
      <c r="I29" s="17">
        <f>IF(H29="Done",G29,0)</f>
        <v/>
      </c>
      <c r="J29" s="17" t="inlineStr"/>
      <c r="K29" s="19" t="inlineStr"/>
    </row>
    <row r="30">
      <c r="A30" s="16" t="inlineStr">
        <is>
          <t>P3-01</t>
        </is>
      </c>
      <c r="B30" s="17" t="inlineStr">
        <is>
          <t>Phase 3</t>
        </is>
      </c>
      <c r="C30" s="17" t="inlineStr">
        <is>
          <t>Tradecraft</t>
        </is>
      </c>
      <c r="D30" s="17" t="inlineStr">
        <is>
          <t>Learn</t>
        </is>
      </c>
      <c r="E30" s="18" t="inlineStr">
        <is>
          <t>C2 architecture &amp; operation: listeners, stagers, sleep/jitter, malleable profiles, redirectors, egress, OPSEC</t>
        </is>
      </c>
      <c r="F30" s="17" t="inlineStr">
        <is>
          <t>★★★★</t>
        </is>
      </c>
      <c r="G30" s="17" t="n">
        <v>150</v>
      </c>
      <c r="H30" s="17" t="inlineStr">
        <is>
          <t>Not Started</t>
        </is>
      </c>
      <c r="I30" s="17">
        <f>IF(H30="Done",G30,0)</f>
        <v/>
      </c>
      <c r="J30" s="17" t="inlineStr"/>
      <c r="K30" s="19" t="inlineStr"/>
    </row>
    <row r="31">
      <c r="A31" s="16" t="inlineStr">
        <is>
          <t>P3-02</t>
        </is>
      </c>
      <c r="B31" s="17" t="inlineStr">
        <is>
          <t>Phase 3</t>
        </is>
      </c>
      <c r="C31" s="17" t="inlineStr">
        <is>
          <t>Technical</t>
        </is>
      </c>
      <c r="D31" s="17" t="inlineStr">
        <is>
          <t>Learn</t>
        </is>
      </c>
      <c r="E31" s="18" t="inlineStr">
        <is>
          <t>Payload dev: shellcode loaders, injection family (classic/APC/thread-hijack/hollowing/module-stomp/early-bird)</t>
        </is>
      </c>
      <c r="F31" s="17" t="inlineStr">
        <is>
          <t>★★★★</t>
        </is>
      </c>
      <c r="G31" s="17" t="n">
        <v>200</v>
      </c>
      <c r="H31" s="17" t="inlineStr">
        <is>
          <t>Not Started</t>
        </is>
      </c>
      <c r="I31" s="17">
        <f>IF(H31="Done",G31,0)</f>
        <v/>
      </c>
      <c r="J31" s="17" t="inlineStr"/>
      <c r="K31" s="19" t="inlineStr"/>
    </row>
    <row r="32">
      <c r="A32" s="16" t="inlineStr">
        <is>
          <t>P3-03</t>
        </is>
      </c>
      <c r="B32" s="17" t="inlineStr">
        <is>
          <t>Phase 3</t>
        </is>
      </c>
      <c r="C32" s="17" t="inlineStr">
        <is>
          <t>Technical</t>
        </is>
      </c>
      <c r="D32" s="17" t="inlineStr">
        <is>
          <t>Learn</t>
        </is>
      </c>
      <c r="E32" s="18" t="inlineStr">
        <is>
          <t>Windows API for offense + direct/indirect syscalls (why they exist as evasion)</t>
        </is>
      </c>
      <c r="F32" s="17" t="inlineStr">
        <is>
          <t>★★★★</t>
        </is>
      </c>
      <c r="G32" s="17" t="n">
        <v>200</v>
      </c>
      <c r="H32" s="17" t="inlineStr">
        <is>
          <t>Not Started</t>
        </is>
      </c>
      <c r="I32" s="17">
        <f>IF(H32="Done",G32,0)</f>
        <v/>
      </c>
      <c r="J32" s="17" t="inlineStr"/>
      <c r="K32" s="19" t="inlineStr"/>
    </row>
    <row r="33">
      <c r="A33" s="16" t="inlineStr">
        <is>
          <t>P3-04</t>
        </is>
      </c>
      <c r="B33" s="17" t="inlineStr">
        <is>
          <t>Phase 3</t>
        </is>
      </c>
      <c r="C33" s="17" t="inlineStr">
        <is>
          <t>Tradecraft</t>
        </is>
      </c>
      <c r="D33" s="17" t="inlineStr">
        <is>
          <t>Learn</t>
        </is>
      </c>
      <c r="E33" s="18" t="inlineStr">
        <is>
          <t>Redirector infrastructure as code (Terraform/Ansible), TLS, categorization, mail/web redirectors</t>
        </is>
      </c>
      <c r="F33" s="17" t="inlineStr">
        <is>
          <t>★★★</t>
        </is>
      </c>
      <c r="G33" s="17" t="n">
        <v>150</v>
      </c>
      <c r="H33" s="17" t="inlineStr">
        <is>
          <t>Not Started</t>
        </is>
      </c>
      <c r="I33" s="17">
        <f>IF(H33="Done",G33,0)</f>
        <v/>
      </c>
      <c r="J33" s="17" t="inlineStr"/>
      <c r="K33" s="19" t="inlineStr"/>
    </row>
    <row r="34">
      <c r="A34" s="16" t="inlineStr">
        <is>
          <t>P3-05</t>
        </is>
      </c>
      <c r="B34" s="17" t="inlineStr">
        <is>
          <t>Phase 3</t>
        </is>
      </c>
      <c r="C34" s="17" t="inlineStr">
        <is>
          <t>Tradecraft</t>
        </is>
      </c>
      <c r="D34" s="17" t="inlineStr">
        <is>
          <t>Track</t>
        </is>
      </c>
      <c r="E34" s="18" t="inlineStr">
        <is>
          <t>Master a commercial-grade C2: Cobalt Strike end-to-end</t>
        </is>
      </c>
      <c r="F34" s="17" t="inlineStr">
        <is>
          <t>★★★★</t>
        </is>
      </c>
      <c r="G34" s="17" t="n">
        <v>250</v>
      </c>
      <c r="H34" s="17" t="inlineStr">
        <is>
          <t>Not Started</t>
        </is>
      </c>
      <c r="I34" s="17">
        <f>IF(H34="Done",G34,0)</f>
        <v/>
      </c>
      <c r="J34" s="17" t="inlineStr"/>
      <c r="K34" s="19" t="inlineStr"/>
    </row>
    <row r="35">
      <c r="A35" s="16" t="inlineStr">
        <is>
          <t>P3-06</t>
        </is>
      </c>
      <c r="B35" s="17" t="inlineStr">
        <is>
          <t>Phase 3</t>
        </is>
      </c>
      <c r="C35" s="17" t="inlineStr">
        <is>
          <t>Tradecraft</t>
        </is>
      </c>
      <c r="D35" s="17" t="inlineStr">
        <is>
          <t>Track</t>
        </is>
      </c>
      <c r="E35" s="18" t="inlineStr">
        <is>
          <t>Master an open C2: Sliver / Mythic / Havoc</t>
        </is>
      </c>
      <c r="F35" s="17" t="inlineStr">
        <is>
          <t>★★★</t>
        </is>
      </c>
      <c r="G35" s="17" t="n">
        <v>200</v>
      </c>
      <c r="H35" s="17" t="inlineStr">
        <is>
          <t>Not Started</t>
        </is>
      </c>
      <c r="I35" s="17">
        <f>IF(H35="Done",G35,0)</f>
        <v/>
      </c>
      <c r="J35" s="17" t="inlineStr"/>
      <c r="K35" s="19" t="inlineStr"/>
    </row>
    <row r="36">
      <c r="A36" s="16" t="inlineStr">
        <is>
          <t>P3-07</t>
        </is>
      </c>
      <c r="B36" s="17" t="inlineStr">
        <is>
          <t>Phase 3</t>
        </is>
      </c>
      <c r="C36" s="17" t="inlineStr">
        <is>
          <t>Technical</t>
        </is>
      </c>
      <c r="D36" s="17" t="inlineStr">
        <is>
          <t>Exercise</t>
        </is>
      </c>
      <c r="E36" s="18" t="inlineStr">
        <is>
          <t>Write a shellcode loader in C# AND in C that runs a benign beacon in lab</t>
        </is>
      </c>
      <c r="F36" s="17" t="inlineStr">
        <is>
          <t>★★★★</t>
        </is>
      </c>
      <c r="G36" s="17" t="n">
        <v>250</v>
      </c>
      <c r="H36" s="17" t="inlineStr">
        <is>
          <t>Not Started</t>
        </is>
      </c>
      <c r="I36" s="17">
        <f>IF(H36="Done",G36,0)</f>
        <v/>
      </c>
      <c r="J36" s="17" t="inlineStr"/>
      <c r="K36" s="19" t="inlineStr"/>
    </row>
    <row r="37">
      <c r="A37" s="16" t="inlineStr">
        <is>
          <t>P3-08</t>
        </is>
      </c>
      <c r="B37" s="17" t="inlineStr">
        <is>
          <t>Phase 3</t>
        </is>
      </c>
      <c r="C37" s="17" t="inlineStr">
        <is>
          <t>Tradecraft</t>
        </is>
      </c>
      <c r="D37" s="17" t="inlineStr">
        <is>
          <t>Exercise</t>
        </is>
      </c>
      <c r="E37" s="18" t="inlineStr">
        <is>
          <t>Stand up HTTP + DNS redirector infra with Terraform; run an op through it</t>
        </is>
      </c>
      <c r="F37" s="17" t="inlineStr">
        <is>
          <t>★★★★</t>
        </is>
      </c>
      <c r="G37" s="17" t="n">
        <v>200</v>
      </c>
      <c r="H37" s="17" t="inlineStr">
        <is>
          <t>Not Started</t>
        </is>
      </c>
      <c r="I37" s="17">
        <f>IF(H37="Done",G37,0)</f>
        <v/>
      </c>
      <c r="J37" s="17" t="inlineStr"/>
      <c r="K37" s="19" t="inlineStr"/>
    </row>
    <row r="38">
      <c r="A38" s="16" t="inlineStr">
        <is>
          <t>P3-09</t>
        </is>
      </c>
      <c r="B38" s="17" t="inlineStr">
        <is>
          <t>Phase 3</t>
        </is>
      </c>
      <c r="C38" s="17" t="inlineStr">
        <is>
          <t>Detection</t>
        </is>
      </c>
      <c r="D38" s="17" t="inlineStr">
        <is>
          <t>Exercise</t>
        </is>
      </c>
      <c r="E38" s="18" t="inlineStr">
        <is>
          <t>Author a malleable C2 profile; verify how it changes your network signature in SIEM</t>
        </is>
      </c>
      <c r="F38" s="17" t="inlineStr">
        <is>
          <t>★★★</t>
        </is>
      </c>
      <c r="G38" s="17" t="n">
        <v>200</v>
      </c>
      <c r="H38" s="17" t="inlineStr">
        <is>
          <t>Not Started</t>
        </is>
      </c>
      <c r="I38" s="17">
        <f>IF(H38="Done",G38,0)</f>
        <v/>
      </c>
      <c r="J38" s="17" t="inlineStr"/>
      <c r="K38" s="19" t="inlineStr"/>
    </row>
    <row r="39">
      <c r="A39" s="16" t="inlineStr">
        <is>
          <t>P3-10</t>
        </is>
      </c>
      <c r="B39" s="17" t="inlineStr">
        <is>
          <t>Phase 3</t>
        </is>
      </c>
      <c r="C39" s="17" t="inlineStr">
        <is>
          <t>Detection</t>
        </is>
      </c>
      <c r="D39" s="17" t="inlineStr">
        <is>
          <t>Exercise</t>
        </is>
      </c>
      <c r="E39" s="18" t="inlineStr">
        <is>
          <t>Implement 3 injection techniques; compare Sysmon/ETW footprint of each</t>
        </is>
      </c>
      <c r="F39" s="17" t="inlineStr">
        <is>
          <t>★★★★</t>
        </is>
      </c>
      <c r="G39" s="17" t="n">
        <v>200</v>
      </c>
      <c r="H39" s="17" t="inlineStr">
        <is>
          <t>Not Started</t>
        </is>
      </c>
      <c r="I39" s="17">
        <f>IF(H39="Done",G39,0)</f>
        <v/>
      </c>
      <c r="J39" s="17" t="inlineStr"/>
      <c r="K39" s="19" t="inlineStr"/>
    </row>
    <row r="40">
      <c r="A40" s="16" t="inlineStr">
        <is>
          <t>P3-11</t>
        </is>
      </c>
      <c r="B40" s="17" t="inlineStr">
        <is>
          <t>Phase 3</t>
        </is>
      </c>
      <c r="C40" s="17" t="inlineStr">
        <is>
          <t>Technical</t>
        </is>
      </c>
      <c r="D40" s="17" t="inlineStr">
        <is>
          <t>Track</t>
        </is>
      </c>
      <c r="E40" s="18" t="inlineStr">
        <is>
          <t>Sektor7 RED TEAM Operator: Malware Development Essentials</t>
        </is>
      </c>
      <c r="F40" s="17" t="inlineStr">
        <is>
          <t>★★★</t>
        </is>
      </c>
      <c r="G40" s="17" t="n">
        <v>300</v>
      </c>
      <c r="H40" s="17" t="inlineStr">
        <is>
          <t>Not Started</t>
        </is>
      </c>
      <c r="I40" s="17">
        <f>IF(H40="Done",G40,0)</f>
        <v/>
      </c>
      <c r="J40" s="17" t="inlineStr"/>
      <c r="K40" s="19" t="inlineStr"/>
    </row>
    <row r="41">
      <c r="A41" s="16" t="inlineStr">
        <is>
          <t>P3-12</t>
        </is>
      </c>
      <c r="B41" s="17" t="inlineStr">
        <is>
          <t>Phase 3</t>
        </is>
      </c>
      <c r="C41" s="17" t="inlineStr">
        <is>
          <t>Technical</t>
        </is>
      </c>
      <c r="D41" s="17" t="inlineStr">
        <is>
          <t>Track</t>
        </is>
      </c>
      <c r="E41" s="18" t="inlineStr">
        <is>
          <t>MalDev Academy core modules (loaders, injection, evasion)</t>
        </is>
      </c>
      <c r="F41" s="17" t="inlineStr">
        <is>
          <t>★★★★</t>
        </is>
      </c>
      <c r="G41" s="17" t="n">
        <v>300</v>
      </c>
      <c r="H41" s="17" t="inlineStr">
        <is>
          <t>Not Started</t>
        </is>
      </c>
      <c r="I41" s="17">
        <f>IF(H41="Done",G41,0)</f>
        <v/>
      </c>
      <c r="J41" s="17" t="inlineStr"/>
      <c r="K41" s="19" t="inlineStr"/>
    </row>
    <row r="42">
      <c r="A42" s="16" t="inlineStr">
        <is>
          <t>P3-13</t>
        </is>
      </c>
      <c r="B42" s="17" t="inlineStr">
        <is>
          <t>Phase 3</t>
        </is>
      </c>
      <c r="C42" s="17" t="inlineStr">
        <is>
          <t>Technical</t>
        </is>
      </c>
      <c r="D42" s="17" t="inlineStr">
        <is>
          <t>Assessment</t>
        </is>
      </c>
      <c r="E42" s="18" t="inlineStr">
        <is>
          <t>Custom loader YOU wrote beats default-config Defender in lab (explain why each evasion works)</t>
        </is>
      </c>
      <c r="F42" s="17" t="inlineStr">
        <is>
          <t>★★★★★</t>
        </is>
      </c>
      <c r="G42" s="17" t="n">
        <v>400</v>
      </c>
      <c r="H42" s="17" t="inlineStr">
        <is>
          <t>Not Started</t>
        </is>
      </c>
      <c r="I42" s="17">
        <f>IF(H42="Done",G42,0)</f>
        <v/>
      </c>
      <c r="J42" s="17" t="inlineStr"/>
      <c r="K42" s="19" t="inlineStr"/>
    </row>
    <row r="43">
      <c r="A43" s="16" t="inlineStr">
        <is>
          <t>P3-14</t>
        </is>
      </c>
      <c r="B43" s="17" t="inlineStr">
        <is>
          <t>Phase 3</t>
        </is>
      </c>
      <c r="C43" s="17" t="inlineStr">
        <is>
          <t>Tradecraft</t>
        </is>
      </c>
      <c r="D43" s="17" t="inlineStr">
        <is>
          <t>Milestone</t>
        </is>
      </c>
      <c r="E43" s="18" t="inlineStr">
        <is>
          <t>MILESTONE: Pass CRTO (Zero-Point Security)</t>
        </is>
      </c>
      <c r="F43" s="17" t="inlineStr">
        <is>
          <t>★★★★★</t>
        </is>
      </c>
      <c r="G43" s="17" t="n">
        <v>800</v>
      </c>
      <c r="H43" s="17" t="inlineStr">
        <is>
          <t>Not Started</t>
        </is>
      </c>
      <c r="I43" s="17">
        <f>IF(H43="Done",G43,0)</f>
        <v/>
      </c>
      <c r="J43" s="17" t="inlineStr"/>
      <c r="K43" s="19" t="inlineStr"/>
    </row>
    <row r="44">
      <c r="A44" s="16" t="inlineStr">
        <is>
          <t>P4-01</t>
        </is>
      </c>
      <c r="B44" s="17" t="inlineStr">
        <is>
          <t>Phase 4</t>
        </is>
      </c>
      <c r="C44" s="17" t="inlineStr">
        <is>
          <t>Technical</t>
        </is>
      </c>
      <c r="D44" s="17" t="inlineStr">
        <is>
          <t>Learn</t>
        </is>
      </c>
      <c r="E44" s="18" t="inlineStr">
        <is>
          <t>AMSI bypass concepts (patching, provider abuse) + the detection for each</t>
        </is>
      </c>
      <c r="F44" s="17" t="inlineStr">
        <is>
          <t>★★★★</t>
        </is>
      </c>
      <c r="G44" s="17" t="n">
        <v>180</v>
      </c>
      <c r="H44" s="17" t="inlineStr">
        <is>
          <t>Not Started</t>
        </is>
      </c>
      <c r="I44" s="17">
        <f>IF(H44="Done",G44,0)</f>
        <v/>
      </c>
      <c r="J44" s="17" t="inlineStr"/>
      <c r="K44" s="19" t="inlineStr"/>
    </row>
    <row r="45">
      <c r="A45" s="16" t="inlineStr">
        <is>
          <t>P4-02</t>
        </is>
      </c>
      <c r="B45" s="17" t="inlineStr">
        <is>
          <t>Phase 4</t>
        </is>
      </c>
      <c r="C45" s="17" t="inlineStr">
        <is>
          <t>Technical</t>
        </is>
      </c>
      <c r="D45" s="17" t="inlineStr">
        <is>
          <t>Learn</t>
        </is>
      </c>
      <c r="E45" s="18" t="inlineStr">
        <is>
          <t>ETW tamper/blinding concepts and their trade-offs (increasingly detected)</t>
        </is>
      </c>
      <c r="F45" s="17" t="inlineStr">
        <is>
          <t>★★★★</t>
        </is>
      </c>
      <c r="G45" s="17" t="n">
        <v>180</v>
      </c>
      <c r="H45" s="17" t="inlineStr">
        <is>
          <t>Not Started</t>
        </is>
      </c>
      <c r="I45" s="17">
        <f>IF(H45="Done",G45,0)</f>
        <v/>
      </c>
      <c r="J45" s="17" t="inlineStr"/>
      <c r="K45" s="19" t="inlineStr"/>
    </row>
    <row r="46">
      <c r="A46" s="16" t="inlineStr">
        <is>
          <t>P4-03</t>
        </is>
      </c>
      <c r="B46" s="17" t="inlineStr">
        <is>
          <t>Phase 4</t>
        </is>
      </c>
      <c r="C46" s="17" t="inlineStr">
        <is>
          <t>Technical</t>
        </is>
      </c>
      <c r="D46" s="17" t="inlineStr">
        <is>
          <t>Learn</t>
        </is>
      </c>
      <c r="E46" s="18" t="inlineStr">
        <is>
          <t>Userland unhooking, direct/indirect syscalls, call-stack spoofing, sleep-mask/heap encryption</t>
        </is>
      </c>
      <c r="F46" s="17" t="inlineStr">
        <is>
          <t>★★★★★</t>
        </is>
      </c>
      <c r="G46" s="17" t="n">
        <v>250</v>
      </c>
      <c r="H46" s="17" t="inlineStr">
        <is>
          <t>Not Started</t>
        </is>
      </c>
      <c r="I46" s="17">
        <f>IF(H46="Done",G46,0)</f>
        <v/>
      </c>
      <c r="J46" s="17" t="inlineStr"/>
      <c r="K46" s="19" t="inlineStr"/>
    </row>
    <row r="47">
      <c r="A47" s="16" t="inlineStr">
        <is>
          <t>P4-04</t>
        </is>
      </c>
      <c r="B47" s="17" t="inlineStr">
        <is>
          <t>Phase 4</t>
        </is>
      </c>
      <c r="C47" s="17" t="inlineStr">
        <is>
          <t>Technical</t>
        </is>
      </c>
      <c r="D47" s="17" t="inlineStr">
        <is>
          <t>Learn</t>
        </is>
      </c>
      <c r="E47" s="18" t="inlineStr">
        <is>
          <t>PPL / LSASS protection &amp; Credential Guard implications</t>
        </is>
      </c>
      <c r="F47" s="17" t="inlineStr">
        <is>
          <t>★★★★</t>
        </is>
      </c>
      <c r="G47" s="17" t="n">
        <v>180</v>
      </c>
      <c r="H47" s="17" t="inlineStr">
        <is>
          <t>Not Started</t>
        </is>
      </c>
      <c r="I47" s="17">
        <f>IF(H47="Done",G47,0)</f>
        <v/>
      </c>
      <c r="J47" s="17" t="inlineStr"/>
      <c r="K47" s="19" t="inlineStr"/>
    </row>
    <row r="48">
      <c r="A48" s="16" t="inlineStr">
        <is>
          <t>P4-05</t>
        </is>
      </c>
      <c r="B48" s="17" t="inlineStr">
        <is>
          <t>Phase 4</t>
        </is>
      </c>
      <c r="C48" s="17" t="inlineStr">
        <is>
          <t>Detection</t>
        </is>
      </c>
      <c r="D48" s="17" t="inlineStr">
        <is>
          <t>Learn</t>
        </is>
      </c>
      <c r="E48" s="18" t="inlineStr">
        <is>
          <t>EDR telemetry model: kernel callbacks, minifilters, ETW-TI (what an EDR actually sees)</t>
        </is>
      </c>
      <c r="F48" s="17" t="inlineStr">
        <is>
          <t>★★★★★</t>
        </is>
      </c>
      <c r="G48" s="17" t="n">
        <v>200</v>
      </c>
      <c r="H48" s="17" t="inlineStr">
        <is>
          <t>Not Started</t>
        </is>
      </c>
      <c r="I48" s="17">
        <f>IF(H48="Done",G48,0)</f>
        <v/>
      </c>
      <c r="J48" s="17" t="inlineStr"/>
      <c r="K48" s="19" t="inlineStr"/>
    </row>
    <row r="49">
      <c r="A49" s="16" t="inlineStr">
        <is>
          <t>P4-06</t>
        </is>
      </c>
      <c r="B49" s="17" t="inlineStr">
        <is>
          <t>Phase 4</t>
        </is>
      </c>
      <c r="C49" s="17" t="inlineStr">
        <is>
          <t>Detection</t>
        </is>
      </c>
      <c r="D49" s="17" t="inlineStr">
        <is>
          <t>Learn</t>
        </is>
      </c>
      <c r="E49" s="18" t="inlineStr">
        <is>
          <t>Detection engineering: write Sigma rules, ATT&amp;CK mapping, detections in Elastic/Splunk</t>
        </is>
      </c>
      <c r="F49" s="17" t="inlineStr">
        <is>
          <t>★★★★</t>
        </is>
      </c>
      <c r="G49" s="17" t="n">
        <v>200</v>
      </c>
      <c r="H49" s="17" t="inlineStr">
        <is>
          <t>Not Started</t>
        </is>
      </c>
      <c r="I49" s="17">
        <f>IF(H49="Done",G49,0)</f>
        <v/>
      </c>
      <c r="J49" s="17" t="inlineStr"/>
      <c r="K49" s="19" t="inlineStr"/>
    </row>
    <row r="50">
      <c r="A50" s="16" t="inlineStr">
        <is>
          <t>P4-07</t>
        </is>
      </c>
      <c r="B50" s="17" t="inlineStr">
        <is>
          <t>Phase 4</t>
        </is>
      </c>
      <c r="C50" s="17" t="inlineStr">
        <is>
          <t>Detection</t>
        </is>
      </c>
      <c r="D50" s="17" t="inlineStr">
        <is>
          <t>Lab</t>
        </is>
      </c>
      <c r="E50" s="18" t="inlineStr">
        <is>
          <t>Deploy a real EDR in lab (Elastic Defend/MDE eval); iterate loaders against it</t>
        </is>
      </c>
      <c r="F50" s="17" t="inlineStr">
        <is>
          <t>★★★★★</t>
        </is>
      </c>
      <c r="G50" s="17" t="n">
        <v>400</v>
      </c>
      <c r="H50" s="17" t="inlineStr">
        <is>
          <t>Not Started</t>
        </is>
      </c>
      <c r="I50" s="17">
        <f>IF(H50="Done",G50,0)</f>
        <v/>
      </c>
      <c r="J50" s="17" t="inlineStr"/>
      <c r="K50" s="19" t="inlineStr"/>
    </row>
    <row r="51">
      <c r="A51" s="16" t="inlineStr">
        <is>
          <t>P4-08</t>
        </is>
      </c>
      <c r="B51" s="17" t="inlineStr">
        <is>
          <t>Phase 4</t>
        </is>
      </c>
      <c r="C51" s="17" t="inlineStr">
        <is>
          <t>Purple</t>
        </is>
      </c>
      <c r="D51" s="17" t="inlineStr">
        <is>
          <t>Lab</t>
        </is>
      </c>
      <c r="E51" s="18" t="inlineStr">
        <is>
          <t>DetectionLab / SimuLand / Splunk Attack Range: paired attack + detect</t>
        </is>
      </c>
      <c r="F51" s="17" t="inlineStr">
        <is>
          <t>★★★★</t>
        </is>
      </c>
      <c r="G51" s="17" t="n">
        <v>300</v>
      </c>
      <c r="H51" s="17" t="inlineStr">
        <is>
          <t>Not Started</t>
        </is>
      </c>
      <c r="I51" s="17">
        <f>IF(H51="Done",G51,0)</f>
        <v/>
      </c>
      <c r="J51" s="17" t="inlineStr"/>
      <c r="K51" s="19" t="inlineStr"/>
    </row>
    <row r="52">
      <c r="A52" s="16" t="inlineStr">
        <is>
          <t>P4-09</t>
        </is>
      </c>
      <c r="B52" s="17" t="inlineStr">
        <is>
          <t>Phase 4</t>
        </is>
      </c>
      <c r="C52" s="17" t="inlineStr">
        <is>
          <t>Purple</t>
        </is>
      </c>
      <c r="D52" s="17" t="inlineStr">
        <is>
          <t>Lab</t>
        </is>
      </c>
      <c r="E52" s="18" t="inlineStr">
        <is>
          <t>MITRE Caldera + Atomic Red Team: run technique, observe telemetry, tune detection</t>
        </is>
      </c>
      <c r="F52" s="17" t="inlineStr">
        <is>
          <t>★★★★</t>
        </is>
      </c>
      <c r="G52" s="17" t="n">
        <v>300</v>
      </c>
      <c r="H52" s="17" t="inlineStr">
        <is>
          <t>Not Started</t>
        </is>
      </c>
      <c r="I52" s="17">
        <f>IF(H52="Done",G52,0)</f>
        <v/>
      </c>
      <c r="J52" s="17" t="inlineStr"/>
      <c r="K52" s="19" t="inlineStr"/>
    </row>
    <row r="53">
      <c r="A53" s="16" t="inlineStr">
        <is>
          <t>P4-10</t>
        </is>
      </c>
      <c r="B53" s="17" t="inlineStr">
        <is>
          <t>Phase 4</t>
        </is>
      </c>
      <c r="C53" s="17" t="inlineStr">
        <is>
          <t>Purple</t>
        </is>
      </c>
      <c r="D53" s="17" t="inlineStr">
        <is>
          <t>Exercise</t>
        </is>
      </c>
      <c r="E53" s="18" t="inlineStr">
        <is>
          <t>Evade-&gt;re-detect loop x5: evade Defender, then write the Sigma/EDR rule that re-catches it</t>
        </is>
      </c>
      <c r="F53" s="17" t="inlineStr">
        <is>
          <t>★★★★★</t>
        </is>
      </c>
      <c r="G53" s="17" t="n">
        <v>350</v>
      </c>
      <c r="H53" s="17" t="inlineStr">
        <is>
          <t>Not Started</t>
        </is>
      </c>
      <c r="I53" s="17">
        <f>IF(H53="Done",G53,0)</f>
        <v/>
      </c>
      <c r="J53" s="17" t="inlineStr"/>
      <c r="K53" s="19" t="inlineStr"/>
    </row>
    <row r="54">
      <c r="A54" s="16" t="inlineStr">
        <is>
          <t>P4-11</t>
        </is>
      </c>
      <c r="B54" s="17" t="inlineStr">
        <is>
          <t>Phase 4</t>
        </is>
      </c>
      <c r="C54" s="17" t="inlineStr">
        <is>
          <t>Tradecraft</t>
        </is>
      </c>
      <c r="D54" s="17" t="inlineStr">
        <is>
          <t>Exercise</t>
        </is>
      </c>
      <c r="E54" s="18" t="inlineStr">
        <is>
          <t>Build a 'telemetry budget' doc: every emitted signal in a full chain + mitigation</t>
        </is>
      </c>
      <c r="F54" s="17" t="inlineStr">
        <is>
          <t>★★★★</t>
        </is>
      </c>
      <c r="G54" s="17" t="n">
        <v>200</v>
      </c>
      <c r="H54" s="17" t="inlineStr">
        <is>
          <t>Not Started</t>
        </is>
      </c>
      <c r="I54" s="17">
        <f>IF(H54="Done",G54,0)</f>
        <v/>
      </c>
      <c r="J54" s="17" t="inlineStr"/>
      <c r="K54" s="19" t="inlineStr"/>
    </row>
    <row r="55">
      <c r="A55" s="16" t="inlineStr">
        <is>
          <t>P4-12</t>
        </is>
      </c>
      <c r="B55" s="17" t="inlineStr">
        <is>
          <t>Phase 4</t>
        </is>
      </c>
      <c r="C55" s="17" t="inlineStr">
        <is>
          <t>Detection</t>
        </is>
      </c>
      <c r="D55" s="17" t="inlineStr">
        <is>
          <t>Assessment</t>
        </is>
      </c>
      <c r="E55" s="18" t="inlineStr">
        <is>
          <t>Custom implant survives a REAL EDR during a multi-step chain + hand over a detection pack</t>
        </is>
      </c>
      <c r="F55" s="17" t="inlineStr">
        <is>
          <t>★★★★★</t>
        </is>
      </c>
      <c r="G55" s="17" t="n">
        <v>500</v>
      </c>
      <c r="H55" s="17" t="inlineStr">
        <is>
          <t>Not Started</t>
        </is>
      </c>
      <c r="I55" s="17">
        <f>IF(H55="Done",G55,0)</f>
        <v/>
      </c>
      <c r="J55" s="17" t="inlineStr"/>
      <c r="K55" s="19" t="inlineStr"/>
    </row>
    <row r="56">
      <c r="A56" s="16" t="inlineStr">
        <is>
          <t>P4-13</t>
        </is>
      </c>
      <c r="B56" s="17" t="inlineStr">
        <is>
          <t>Phase 4</t>
        </is>
      </c>
      <c r="C56" s="17" t="inlineStr">
        <is>
          <t>Technical</t>
        </is>
      </c>
      <c r="D56" s="17" t="inlineStr">
        <is>
          <t>Milestone</t>
        </is>
      </c>
      <c r="E56" s="18" t="inlineStr">
        <is>
          <t>MILESTONE (optional): Pass OffSec OSEP (PEN-300)</t>
        </is>
      </c>
      <c r="F56" s="17" t="inlineStr">
        <is>
          <t>★★★★★</t>
        </is>
      </c>
      <c r="G56" s="17" t="n">
        <v>800</v>
      </c>
      <c r="H56" s="17" t="inlineStr">
        <is>
          <t>Not Started</t>
        </is>
      </c>
      <c r="I56" s="17">
        <f>IF(H56="Done",G56,0)</f>
        <v/>
      </c>
      <c r="J56" s="17" t="inlineStr"/>
      <c r="K56" s="19" t="inlineStr"/>
    </row>
    <row r="57">
      <c r="A57" s="16" t="inlineStr">
        <is>
          <t>P5-01</t>
        </is>
      </c>
      <c r="B57" s="17" t="inlineStr">
        <is>
          <t>Phase 5</t>
        </is>
      </c>
      <c r="C57" s="17" t="inlineStr">
        <is>
          <t>Core</t>
        </is>
      </c>
      <c r="D57" s="17" t="inlineStr">
        <is>
          <t>Learn</t>
        </is>
      </c>
      <c r="E57" s="18" t="inlineStr">
        <is>
          <t>Entra ID: OAuth/OIDC, tokens (PRT!), conditional access, app regs/service principals, consent phishing, device code</t>
        </is>
      </c>
      <c r="F57" s="17" t="inlineStr">
        <is>
          <t>★★★★</t>
        </is>
      </c>
      <c r="G57" s="17" t="n">
        <v>200</v>
      </c>
      <c r="H57" s="17" t="inlineStr">
        <is>
          <t>Not Started</t>
        </is>
      </c>
      <c r="I57" s="17">
        <f>IF(H57="Done",G57,0)</f>
        <v/>
      </c>
      <c r="J57" s="17" t="inlineStr"/>
      <c r="K57" s="19" t="inlineStr"/>
    </row>
    <row r="58">
      <c r="A58" s="16" t="inlineStr">
        <is>
          <t>P5-02</t>
        </is>
      </c>
      <c r="B58" s="17" t="inlineStr">
        <is>
          <t>Phase 5</t>
        </is>
      </c>
      <c r="C58" s="17" t="inlineStr">
        <is>
          <t>Core</t>
        </is>
      </c>
      <c r="D58" s="17" t="inlineStr">
        <is>
          <t>Learn</t>
        </is>
      </c>
      <c r="E58" s="18" t="inlineStr">
        <is>
          <t>Hybrid identity: Entra Connect, PHS/PTA/federation attack paths</t>
        </is>
      </c>
      <c r="F58" s="17" t="inlineStr">
        <is>
          <t>★★★★★</t>
        </is>
      </c>
      <c r="G58" s="17" t="n">
        <v>200</v>
      </c>
      <c r="H58" s="17" t="inlineStr">
        <is>
          <t>Not Started</t>
        </is>
      </c>
      <c r="I58" s="17">
        <f>IF(H58="Done",G58,0)</f>
        <v/>
      </c>
      <c r="J58" s="17" t="inlineStr"/>
      <c r="K58" s="19" t="inlineStr"/>
    </row>
    <row r="59">
      <c r="A59" s="16" t="inlineStr">
        <is>
          <t>P5-03</t>
        </is>
      </c>
      <c r="B59" s="17" t="inlineStr">
        <is>
          <t>Phase 5</t>
        </is>
      </c>
      <c r="C59" s="17" t="inlineStr">
        <is>
          <t>Core</t>
        </is>
      </c>
      <c r="D59" s="17" t="inlineStr">
        <is>
          <t>Learn</t>
        </is>
      </c>
      <c r="E59" s="18" t="inlineStr">
        <is>
          <t>On-prem &lt;-&gt; cloud pivots: ADFS/PRT abuse, Intune/GPO, synced creds, seamless SSO</t>
        </is>
      </c>
      <c r="F59" s="17" t="inlineStr">
        <is>
          <t>★★★★★</t>
        </is>
      </c>
      <c r="G59" s="17" t="n">
        <v>200</v>
      </c>
      <c r="H59" s="17" t="inlineStr">
        <is>
          <t>Not Started</t>
        </is>
      </c>
      <c r="I59" s="17">
        <f>IF(H59="Done",G59,0)</f>
        <v/>
      </c>
      <c r="J59" s="17" t="inlineStr"/>
      <c r="K59" s="19" t="inlineStr"/>
    </row>
    <row r="60">
      <c r="A60" s="16" t="inlineStr">
        <is>
          <t>P5-04</t>
        </is>
      </c>
      <c r="B60" s="17" t="inlineStr">
        <is>
          <t>Phase 5</t>
        </is>
      </c>
      <c r="C60" s="17" t="inlineStr">
        <is>
          <t>Technical</t>
        </is>
      </c>
      <c r="D60" s="17" t="inlineStr">
        <is>
          <t>Learn</t>
        </is>
      </c>
      <c r="E60" s="18" t="inlineStr">
        <is>
          <t>AWS: IAM priv-esc paths, role assumption, metadata/SSRF-to-creds, Pacu methodology</t>
        </is>
      </c>
      <c r="F60" s="17" t="inlineStr">
        <is>
          <t>★★★★</t>
        </is>
      </c>
      <c r="G60" s="17" t="n">
        <v>180</v>
      </c>
      <c r="H60" s="17" t="inlineStr">
        <is>
          <t>Not Started</t>
        </is>
      </c>
      <c r="I60" s="17">
        <f>IF(H60="Done",G60,0)</f>
        <v/>
      </c>
      <c r="J60" s="17" t="inlineStr"/>
      <c r="K60" s="19" t="inlineStr"/>
    </row>
    <row r="61">
      <c r="A61" s="16" t="inlineStr">
        <is>
          <t>P5-05</t>
        </is>
      </c>
      <c r="B61" s="17" t="inlineStr">
        <is>
          <t>Phase 5</t>
        </is>
      </c>
      <c r="C61" s="17" t="inlineStr">
        <is>
          <t>Technical</t>
        </is>
      </c>
      <c r="D61" s="17" t="inlineStr">
        <is>
          <t>Learn</t>
        </is>
      </c>
      <c r="E61" s="18" t="inlineStr">
        <is>
          <t>GCP IAM/service accounts + containers/K8s as pivot surface (RBAC, SA tokens, escapes)</t>
        </is>
      </c>
      <c r="F61" s="17" t="inlineStr">
        <is>
          <t>★★★</t>
        </is>
      </c>
      <c r="G61" s="17" t="n">
        <v>150</v>
      </c>
      <c r="H61" s="17" t="inlineStr">
        <is>
          <t>Not Started</t>
        </is>
      </c>
      <c r="I61" s="17">
        <f>IF(H61="Done",G61,0)</f>
        <v/>
      </c>
      <c r="J61" s="17" t="inlineStr"/>
      <c r="K61" s="19" t="inlineStr"/>
    </row>
    <row r="62">
      <c r="A62" s="16" t="inlineStr">
        <is>
          <t>P5-06</t>
        </is>
      </c>
      <c r="B62" s="17" t="inlineStr">
        <is>
          <t>Phase 5</t>
        </is>
      </c>
      <c r="C62" s="17" t="inlineStr">
        <is>
          <t>Technical</t>
        </is>
      </c>
      <c r="D62" s="17" t="inlineStr">
        <is>
          <t>Lab</t>
        </is>
      </c>
      <c r="E62" s="18" t="inlineStr">
        <is>
          <t>CloudGoat (AWS) scenario end-to-end with written attack path</t>
        </is>
      </c>
      <c r="F62" s="17" t="inlineStr">
        <is>
          <t>★★★</t>
        </is>
      </c>
      <c r="G62" s="17" t="n">
        <v>300</v>
      </c>
      <c r="H62" s="17" t="inlineStr">
        <is>
          <t>Not Started</t>
        </is>
      </c>
      <c r="I62" s="17">
        <f>IF(H62="Done",G62,0)</f>
        <v/>
      </c>
      <c r="J62" s="17" t="inlineStr"/>
      <c r="K62" s="19" t="inlineStr"/>
    </row>
    <row r="63">
      <c r="A63" s="16" t="inlineStr">
        <is>
          <t>P5-07</t>
        </is>
      </c>
      <c r="B63" s="17" t="inlineStr">
        <is>
          <t>Phase 5</t>
        </is>
      </c>
      <c r="C63" s="17" t="inlineStr">
        <is>
          <t>Core</t>
        </is>
      </c>
      <c r="D63" s="17" t="inlineStr">
        <is>
          <t>Lab</t>
        </is>
      </c>
      <c r="E63" s="18" t="inlineStr">
        <is>
          <t>AzureGoat / PurpleCloud tenant scenario</t>
        </is>
      </c>
      <c r="F63" s="17" t="inlineStr">
        <is>
          <t>★★★★</t>
        </is>
      </c>
      <c r="G63" s="17" t="n">
        <v>300</v>
      </c>
      <c r="H63" s="17" t="inlineStr">
        <is>
          <t>Not Started</t>
        </is>
      </c>
      <c r="I63" s="17">
        <f>IF(H63="Done",G63,0)</f>
        <v/>
      </c>
      <c r="J63" s="17" t="inlineStr"/>
      <c r="K63" s="19" t="inlineStr"/>
    </row>
    <row r="64">
      <c r="A64" s="16" t="inlineStr">
        <is>
          <t>P5-08</t>
        </is>
      </c>
      <c r="B64" s="17" t="inlineStr">
        <is>
          <t>Phase 5</t>
        </is>
      </c>
      <c r="C64" s="17" t="inlineStr">
        <is>
          <t>Core</t>
        </is>
      </c>
      <c r="D64" s="17" t="inlineStr">
        <is>
          <t>Exercise</t>
        </is>
      </c>
      <c r="E64" s="18" t="inlineStr">
        <is>
          <t>Consent-phish -&gt; token -&gt; Graph enumeration -&gt; privilege path in a lab tenant</t>
        </is>
      </c>
      <c r="F64" s="17" t="inlineStr">
        <is>
          <t>★★★★</t>
        </is>
      </c>
      <c r="G64" s="17" t="n">
        <v>250</v>
      </c>
      <c r="H64" s="17" t="inlineStr">
        <is>
          <t>Not Started</t>
        </is>
      </c>
      <c r="I64" s="17">
        <f>IF(H64="Done",G64,0)</f>
        <v/>
      </c>
      <c r="J64" s="17" t="inlineStr"/>
      <c r="K64" s="19" t="inlineStr"/>
    </row>
    <row r="65">
      <c r="A65" s="16" t="inlineStr">
        <is>
          <t>P5-09</t>
        </is>
      </c>
      <c r="B65" s="17" t="inlineStr">
        <is>
          <t>Phase 5</t>
        </is>
      </c>
      <c r="C65" s="17" t="inlineStr">
        <is>
          <t>Core</t>
        </is>
      </c>
      <c r="D65" s="17" t="inlineStr">
        <is>
          <t>Exercise</t>
        </is>
      </c>
      <c r="E65" s="18" t="inlineStr">
        <is>
          <t>Compromise on-prem, harvest synced creds / PRT, pivot to cloud (and reverse)</t>
        </is>
      </c>
      <c r="F65" s="17" t="inlineStr">
        <is>
          <t>★★★★★</t>
        </is>
      </c>
      <c r="G65" s="17" t="n">
        <v>300</v>
      </c>
      <c r="H65" s="17" t="inlineStr">
        <is>
          <t>Not Started</t>
        </is>
      </c>
      <c r="I65" s="17">
        <f>IF(H65="Done",G65,0)</f>
        <v/>
      </c>
      <c r="J65" s="17" t="inlineStr"/>
      <c r="K65" s="19" t="inlineStr"/>
    </row>
    <row r="66">
      <c r="A66" s="16" t="inlineStr">
        <is>
          <t>P5-10</t>
        </is>
      </c>
      <c r="B66" s="17" t="inlineStr">
        <is>
          <t>Phase 5</t>
        </is>
      </c>
      <c r="C66" s="17" t="inlineStr">
        <is>
          <t>Core</t>
        </is>
      </c>
      <c r="D66" s="17" t="inlineStr">
        <is>
          <t>Assessment</t>
        </is>
      </c>
      <c r="E66" s="18" t="inlineStr">
        <is>
          <t>Own a HYBRID lab (Entra + Connect + on-prem AD); boundary-crossing chain BOTH directions</t>
        </is>
      </c>
      <c r="F66" s="17" t="inlineStr">
        <is>
          <t>★★★★★</t>
        </is>
      </c>
      <c r="G66" s="17" t="n">
        <v>500</v>
      </c>
      <c r="H66" s="17" t="inlineStr">
        <is>
          <t>Not Started</t>
        </is>
      </c>
      <c r="I66" s="17">
        <f>IF(H66="Done",G66,0)</f>
        <v/>
      </c>
      <c r="J66" s="17" t="inlineStr"/>
      <c r="K66" s="19" t="inlineStr"/>
    </row>
    <row r="67">
      <c r="A67" s="16" t="inlineStr">
        <is>
          <t>P5-11</t>
        </is>
      </c>
      <c r="B67" s="17" t="inlineStr">
        <is>
          <t>Phase 5</t>
        </is>
      </c>
      <c r="C67" s="17" t="inlineStr">
        <is>
          <t>Core</t>
        </is>
      </c>
      <c r="D67" s="17" t="inlineStr">
        <is>
          <t>Milestone</t>
        </is>
      </c>
      <c r="E67" s="18" t="inlineStr">
        <is>
          <t>MILESTONE (optional): Pass CARTP (Altered Security Azure red team)</t>
        </is>
      </c>
      <c r="F67" s="17" t="inlineStr">
        <is>
          <t>★★★★★</t>
        </is>
      </c>
      <c r="G67" s="17" t="n">
        <v>700</v>
      </c>
      <c r="H67" s="17" t="inlineStr">
        <is>
          <t>Not Started</t>
        </is>
      </c>
      <c r="I67" s="17">
        <f>IF(H67="Done",G67,0)</f>
        <v/>
      </c>
      <c r="J67" s="17" t="inlineStr"/>
      <c r="K67" s="19" t="inlineStr"/>
    </row>
    <row r="68">
      <c r="A68" s="16" t="inlineStr">
        <is>
          <t>P6-01</t>
        </is>
      </c>
      <c r="B68" s="17" t="inlineStr">
        <is>
          <t>Phase 6</t>
        </is>
      </c>
      <c r="C68" s="17" t="inlineStr">
        <is>
          <t>Core</t>
        </is>
      </c>
      <c r="D68" s="17" t="inlineStr">
        <is>
          <t>Learn</t>
        </is>
      </c>
      <c r="E68" s="18" t="inlineStr">
        <is>
          <t>CTI -&gt; ATT&amp;CK emulation pipeline: consume a report, extract TTPs, build an emulation plan with safe substitutes</t>
        </is>
      </c>
      <c r="F68" s="17" t="inlineStr">
        <is>
          <t>★★★★★</t>
        </is>
      </c>
      <c r="G68" s="17" t="n">
        <v>250</v>
      </c>
      <c r="H68" s="17" t="inlineStr">
        <is>
          <t>Not Started</t>
        </is>
      </c>
      <c r="I68" s="17">
        <f>IF(H68="Done",G68,0)</f>
        <v/>
      </c>
      <c r="J68" s="17" t="inlineStr"/>
      <c r="K68" s="19" t="inlineStr"/>
    </row>
    <row r="69">
      <c r="A69" s="16" t="inlineStr">
        <is>
          <t>P6-02</t>
        </is>
      </c>
      <c r="B69" s="17" t="inlineStr">
        <is>
          <t>Phase 6</t>
        </is>
      </c>
      <c r="C69" s="17" t="inlineStr">
        <is>
          <t>Core</t>
        </is>
      </c>
      <c r="D69" s="17" t="inlineStr">
        <is>
          <t>Learn</t>
        </is>
      </c>
      <c r="E69" s="18" t="inlineStr">
        <is>
          <t>MITRE Adversary Emulation Library plans (APT29, FIN7, menuPass): run and adapt</t>
        </is>
      </c>
      <c r="F69" s="17" t="inlineStr">
        <is>
          <t>★★★★</t>
        </is>
      </c>
      <c r="G69" s="17" t="n">
        <v>200</v>
      </c>
      <c r="H69" s="17" t="inlineStr">
        <is>
          <t>Not Started</t>
        </is>
      </c>
      <c r="I69" s="17">
        <f>IF(H69="Done",G69,0)</f>
        <v/>
      </c>
      <c r="J69" s="17" t="inlineStr"/>
      <c r="K69" s="19" t="inlineStr"/>
    </row>
    <row r="70">
      <c r="A70" s="16" t="inlineStr">
        <is>
          <t>P6-03</t>
        </is>
      </c>
      <c r="B70" s="17" t="inlineStr">
        <is>
          <t>Phase 6</t>
        </is>
      </c>
      <c r="C70" s="17" t="inlineStr">
        <is>
          <t>Reporting</t>
        </is>
      </c>
      <c r="D70" s="17" t="inlineStr">
        <is>
          <t>Learn</t>
        </is>
      </c>
      <c r="E70" s="18" t="inlineStr">
        <is>
          <t>Engagement leadership: scoping, RoE, deconfliction, evidence handling, crown-jewel analysis, objective-based success</t>
        </is>
      </c>
      <c r="F70" s="17" t="inlineStr">
        <is>
          <t>★★★★</t>
        </is>
      </c>
      <c r="G70" s="17" t="n">
        <v>250</v>
      </c>
      <c r="H70" s="17" t="inlineStr">
        <is>
          <t>Not Started</t>
        </is>
      </c>
      <c r="I70" s="17">
        <f>IF(H70="Done",G70,0)</f>
        <v/>
      </c>
      <c r="J70" s="17" t="inlineStr"/>
      <c r="K70" s="19" t="inlineStr"/>
    </row>
    <row r="71">
      <c r="A71" s="16" t="inlineStr">
        <is>
          <t>P6-04</t>
        </is>
      </c>
      <c r="B71" s="17" t="inlineStr">
        <is>
          <t>Phase 6</t>
        </is>
      </c>
      <c r="C71" s="17" t="inlineStr">
        <is>
          <t>Purple</t>
        </is>
      </c>
      <c r="D71" s="17" t="inlineStr">
        <is>
          <t>Learn</t>
        </is>
      </c>
      <c r="E71" s="18" t="inlineStr">
        <is>
          <t>Purple-team facilitation: run a detection-tuning cycle as a collaborative exercise</t>
        </is>
      </c>
      <c r="F71" s="17" t="inlineStr">
        <is>
          <t>★★★★</t>
        </is>
      </c>
      <c r="G71" s="17" t="n">
        <v>200</v>
      </c>
      <c r="H71" s="17" t="inlineStr">
        <is>
          <t>Not Started</t>
        </is>
      </c>
      <c r="I71" s="17">
        <f>IF(H71="Done",G71,0)</f>
        <v/>
      </c>
      <c r="J71" s="17" t="inlineStr"/>
      <c r="K71" s="19" t="inlineStr"/>
    </row>
    <row r="72">
      <c r="A72" s="16" t="inlineStr">
        <is>
          <t>P6-05</t>
        </is>
      </c>
      <c r="B72" s="17" t="inlineStr">
        <is>
          <t>Phase 6</t>
        </is>
      </c>
      <c r="C72" s="17" t="inlineStr">
        <is>
          <t>Core</t>
        </is>
      </c>
      <c r="D72" s="17" t="inlineStr">
        <is>
          <t>Exercise</t>
        </is>
      </c>
      <c r="E72" s="18" t="inlineStr">
        <is>
          <t>Run an APT29 or FIN7 emulation plan in Caldera against instrumented defenses</t>
        </is>
      </c>
      <c r="F72" s="17" t="inlineStr">
        <is>
          <t>★★★★★</t>
        </is>
      </c>
      <c r="G72" s="17" t="n">
        <v>350</v>
      </c>
      <c r="H72" s="17" t="inlineStr">
        <is>
          <t>Not Started</t>
        </is>
      </c>
      <c r="I72" s="17">
        <f>IF(H72="Done",G72,0)</f>
        <v/>
      </c>
      <c r="J72" s="17" t="inlineStr"/>
      <c r="K72" s="19" t="inlineStr"/>
    </row>
    <row r="73">
      <c r="A73" s="16" t="inlineStr">
        <is>
          <t>P6-06</t>
        </is>
      </c>
      <c r="B73" s="17" t="inlineStr">
        <is>
          <t>Phase 6</t>
        </is>
      </c>
      <c r="C73" s="17" t="inlineStr">
        <is>
          <t>Purple</t>
        </is>
      </c>
      <c r="D73" s="17" t="inlineStr">
        <is>
          <t>Exercise</t>
        </is>
      </c>
      <c r="E73" s="18" t="inlineStr">
        <is>
          <t>Track detection coverage across an engagement in Vectr</t>
        </is>
      </c>
      <c r="F73" s="17" t="inlineStr">
        <is>
          <t>★★★</t>
        </is>
      </c>
      <c r="G73" s="17" t="n">
        <v>200</v>
      </c>
      <c r="H73" s="17" t="inlineStr">
        <is>
          <t>Not Started</t>
        </is>
      </c>
      <c r="I73" s="17">
        <f>IF(H73="Done",G73,0)</f>
        <v/>
      </c>
      <c r="J73" s="17" t="inlineStr"/>
      <c r="K73" s="19" t="inlineStr"/>
    </row>
    <row r="74">
      <c r="A74" s="16" t="inlineStr">
        <is>
          <t>P6-07</t>
        </is>
      </c>
      <c r="B74" s="17" t="inlineStr">
        <is>
          <t>Phase 6</t>
        </is>
      </c>
      <c r="C74" s="17" t="inlineStr">
        <is>
          <t>Core</t>
        </is>
      </c>
      <c r="D74" s="17" t="inlineStr">
        <is>
          <t>Milestone</t>
        </is>
      </c>
      <c r="E74" s="18" t="inlineStr">
        <is>
          <t>MILESTONE: Pass CRTL (Certified Red Team Lead)</t>
        </is>
      </c>
      <c r="F74" s="17" t="inlineStr">
        <is>
          <t>★★★★★</t>
        </is>
      </c>
      <c r="G74" s="17" t="n">
        <v>900</v>
      </c>
      <c r="H74" s="17" t="inlineStr">
        <is>
          <t>Not Started</t>
        </is>
      </c>
      <c r="I74" s="17">
        <f>IF(H74="Done",G74,0)</f>
        <v/>
      </c>
      <c r="J74" s="17" t="inlineStr"/>
      <c r="K74" s="19" t="inlineStr"/>
    </row>
    <row r="75">
      <c r="A75" s="16" t="inlineStr">
        <is>
          <t>TR-01</t>
        </is>
      </c>
      <c r="B75" s="17" t="inlineStr">
        <is>
          <t>Tracks</t>
        </is>
      </c>
      <c r="C75" s="17" t="inlineStr">
        <is>
          <t>Technical</t>
        </is>
      </c>
      <c r="D75" s="17" t="inlineStr">
        <is>
          <t>Track</t>
        </is>
      </c>
      <c r="E75" s="18" t="inlineStr">
        <is>
          <t>Vuln research: write ONE from-scratch memory-corruption exploit in a lab</t>
        </is>
      </c>
      <c r="F75" s="17" t="inlineStr">
        <is>
          <t>★★★★★</t>
        </is>
      </c>
      <c r="G75" s="17" t="n">
        <v>400</v>
      </c>
      <c r="H75" s="17" t="inlineStr">
        <is>
          <t>Not Started</t>
        </is>
      </c>
      <c r="I75" s="17">
        <f>IF(H75="Done",G75,0)</f>
        <v/>
      </c>
      <c r="J75" s="17" t="inlineStr"/>
      <c r="K75" s="19" t="inlineStr"/>
    </row>
    <row r="76">
      <c r="A76" s="16" t="inlineStr">
        <is>
          <t>TR-02</t>
        </is>
      </c>
      <c r="B76" s="17" t="inlineStr">
        <is>
          <t>Tracks</t>
        </is>
      </c>
      <c r="C76" s="17" t="inlineStr">
        <is>
          <t>Technical</t>
        </is>
      </c>
      <c r="D76" s="17" t="inlineStr">
        <is>
          <t>Track</t>
        </is>
      </c>
      <c r="E76" s="18" t="inlineStr">
        <is>
          <t>Reproduce a CVE from a public writeup / N-day weaponization</t>
        </is>
      </c>
      <c r="F76" s="17" t="inlineStr">
        <is>
          <t>★★★★</t>
        </is>
      </c>
      <c r="G76" s="17" t="n">
        <v>250</v>
      </c>
      <c r="H76" s="17" t="inlineStr">
        <is>
          <t>Not Started</t>
        </is>
      </c>
      <c r="I76" s="17">
        <f>IF(H76="Done",G76,0)</f>
        <v/>
      </c>
      <c r="J76" s="17" t="inlineStr"/>
      <c r="K76" s="19" t="inlineStr"/>
    </row>
    <row r="77">
      <c r="A77" s="16" t="inlineStr">
        <is>
          <t>TR-03</t>
        </is>
      </c>
      <c r="B77" s="17" t="inlineStr">
        <is>
          <t>Tracks</t>
        </is>
      </c>
      <c r="C77" s="17" t="inlineStr">
        <is>
          <t>Tradecraft</t>
        </is>
      </c>
      <c r="D77" s="17" t="inlineStr">
        <is>
          <t>Track</t>
        </is>
      </c>
      <c r="E77" s="18" t="inlineStr">
        <is>
          <t>Build redirector hygiene + attribution kit (tooling matched to emulated actor)</t>
        </is>
      </c>
      <c r="F77" s="17" t="inlineStr">
        <is>
          <t>★★★★</t>
        </is>
      </c>
      <c r="G77" s="17" t="n">
        <v>250</v>
      </c>
      <c r="H77" s="17" t="inlineStr">
        <is>
          <t>Not Started</t>
        </is>
      </c>
      <c r="I77" s="17">
        <f>IF(H77="Done",G77,0)</f>
        <v/>
      </c>
      <c r="J77" s="17" t="inlineStr"/>
      <c r="K77" s="19" t="inlineStr"/>
    </row>
    <row r="78">
      <c r="A78" s="16" t="inlineStr">
        <is>
          <t>TR-04</t>
        </is>
      </c>
      <c r="B78" s="17" t="inlineStr">
        <is>
          <t>Tracks</t>
        </is>
      </c>
      <c r="C78" s="17" t="inlineStr">
        <is>
          <t>Tradecraft</t>
        </is>
      </c>
      <c r="D78" s="17" t="inlineStr">
        <is>
          <t>Track</t>
        </is>
      </c>
      <c r="E78" s="18" t="inlineStr">
        <is>
          <t>Author deconfliction, data-handling, cleanup &amp; kill-switch procedures</t>
        </is>
      </c>
      <c r="F78" s="17" t="inlineStr">
        <is>
          <t>★★★</t>
        </is>
      </c>
      <c r="G78" s="17" t="n">
        <v>200</v>
      </c>
      <c r="H78" s="17" t="inlineStr">
        <is>
          <t>Not Started</t>
        </is>
      </c>
      <c r="I78" s="17">
        <f>IF(H78="Done",G78,0)</f>
        <v/>
      </c>
      <c r="J78" s="17" t="inlineStr"/>
      <c r="K78" s="19" t="inlineStr"/>
    </row>
    <row r="79">
      <c r="A79" s="16" t="inlineStr">
        <is>
          <t>TR-05</t>
        </is>
      </c>
      <c r="B79" s="17" t="inlineStr">
        <is>
          <t>Tracks</t>
        </is>
      </c>
      <c r="C79" s="17" t="inlineStr">
        <is>
          <t>Reporting</t>
        </is>
      </c>
      <c r="D79" s="17" t="inlineStr">
        <is>
          <t>Track</t>
        </is>
      </c>
      <c r="E79" s="18" t="inlineStr">
        <is>
          <t>Write BOTH an executive narrative + a technical report for a major lab</t>
        </is>
      </c>
      <c r="F79" s="17" t="inlineStr">
        <is>
          <t>★★★★</t>
        </is>
      </c>
      <c r="G79" s="17" t="n">
        <v>300</v>
      </c>
      <c r="H79" s="17" t="inlineStr">
        <is>
          <t>Not Started</t>
        </is>
      </c>
      <c r="I79" s="17">
        <f>IF(H79="Done",G79,0)</f>
        <v/>
      </c>
      <c r="J79" s="17" t="inlineStr"/>
      <c r="K79" s="19" t="inlineStr"/>
    </row>
    <row r="80">
      <c r="A80" s="16" t="inlineStr">
        <is>
          <t>TR-06</t>
        </is>
      </c>
      <c r="B80" s="17" t="inlineStr">
        <is>
          <t>Tracks</t>
        </is>
      </c>
      <c r="C80" s="17" t="inlineStr">
        <is>
          <t>Detection</t>
        </is>
      </c>
      <c r="D80" s="17" t="inlineStr">
        <is>
          <t>Track</t>
        </is>
      </c>
      <c r="E80" s="18" t="inlineStr">
        <is>
          <t>Maintain a personal TTP &lt;-&gt; telemetry notebook (every technique -&gt; its detection)</t>
        </is>
      </c>
      <c r="F80" s="17" t="inlineStr">
        <is>
          <t>★★★</t>
        </is>
      </c>
      <c r="G80" s="17" t="n">
        <v>200</v>
      </c>
      <c r="H80" s="17" t="inlineStr">
        <is>
          <t>Not Started</t>
        </is>
      </c>
      <c r="I80" s="17">
        <f>IF(H80="Done",G80,0)</f>
        <v/>
      </c>
      <c r="J80" s="17" t="inlineStr"/>
      <c r="K80" s="19" t="inlineStr"/>
    </row>
    <row r="81">
      <c r="A81" s="16" t="inlineStr">
        <is>
          <t>TR-07</t>
        </is>
      </c>
      <c r="B81" s="17" t="inlineStr">
        <is>
          <t>Tracks</t>
        </is>
      </c>
      <c r="C81" s="17" t="inlineStr">
        <is>
          <t>Purple</t>
        </is>
      </c>
      <c r="D81" s="17" t="inlineStr">
        <is>
          <t>Track</t>
        </is>
      </c>
      <c r="E81" s="18" t="inlineStr">
        <is>
          <t>Run a documented attack-&gt;detect-&gt;evade-&gt;re-detect cycle with a blue teammate</t>
        </is>
      </c>
      <c r="F81" s="17" t="inlineStr">
        <is>
          <t>★★★★</t>
        </is>
      </c>
      <c r="G81" s="17" t="n">
        <v>300</v>
      </c>
      <c r="H81" s="17" t="inlineStr">
        <is>
          <t>Not Started</t>
        </is>
      </c>
      <c r="I81" s="17">
        <f>IF(H81="Done",G81,0)</f>
        <v/>
      </c>
      <c r="J81" s="17" t="inlineStr"/>
      <c r="K81" s="19" t="inlineStr"/>
    </row>
    <row r="82">
      <c r="A82" s="16" t="inlineStr">
        <is>
          <t>CAP-1</t>
        </is>
      </c>
      <c r="B82" s="17" t="inlineStr">
        <is>
          <t>Capstone</t>
        </is>
      </c>
      <c r="C82" s="17" t="inlineStr">
        <is>
          <t>Core</t>
        </is>
      </c>
      <c r="D82" s="17" t="inlineStr">
        <is>
          <t>Capstone</t>
        </is>
      </c>
      <c r="E82" s="18" t="inlineStr">
        <is>
          <t>CAP-1: Assumed-breach unseen AD lab -&gt; Domain Admin unassisted + path diagram + report + detections</t>
        </is>
      </c>
      <c r="F82" s="17" t="inlineStr">
        <is>
          <t>★★★★</t>
        </is>
      </c>
      <c r="G82" s="17" t="n">
        <v>1000</v>
      </c>
      <c r="H82" s="17" t="inlineStr">
        <is>
          <t>Not Started</t>
        </is>
      </c>
      <c r="I82" s="17">
        <f>IF(H82="Done",G82,0)</f>
        <v/>
      </c>
      <c r="J82" s="17" t="inlineStr"/>
      <c r="K82" s="19" t="inlineStr"/>
    </row>
    <row r="83">
      <c r="A83" s="16" t="inlineStr">
        <is>
          <t>CAP-2</t>
        </is>
      </c>
      <c r="B83" s="17" t="inlineStr">
        <is>
          <t>Capstone</t>
        </is>
      </c>
      <c r="C83" s="17" t="inlineStr">
        <is>
          <t>Tradecraft</t>
        </is>
      </c>
      <c r="D83" s="17" t="inlineStr">
        <is>
          <t>Capstone</t>
        </is>
      </c>
      <c r="E83" s="18" t="inlineStr">
        <is>
          <t>CAP-2: External-&gt;internal chain with YOUR loader + C2 through redirectors; survive default Defender + OPSEC notes</t>
        </is>
      </c>
      <c r="F83" s="17" t="inlineStr">
        <is>
          <t>★★★★★</t>
        </is>
      </c>
      <c r="G83" s="17" t="n">
        <v>1200</v>
      </c>
      <c r="H83" s="17" t="inlineStr">
        <is>
          <t>Not Started</t>
        </is>
      </c>
      <c r="I83" s="17">
        <f>IF(H83="Done",G83,0)</f>
        <v/>
      </c>
      <c r="J83" s="17" t="inlineStr"/>
      <c r="K83" s="19" t="inlineStr"/>
    </row>
    <row r="84">
      <c r="A84" s="16" t="inlineStr">
        <is>
          <t>CAP-3</t>
        </is>
      </c>
      <c r="B84" s="17" t="inlineStr">
        <is>
          <t>Capstone</t>
        </is>
      </c>
      <c r="C84" s="17" t="inlineStr">
        <is>
          <t>Purple</t>
        </is>
      </c>
      <c r="D84" s="17" t="inlineStr">
        <is>
          <t>Capstone</t>
        </is>
      </c>
      <c r="E84" s="18" t="inlineStr">
        <is>
          <t>CAP-3: Same objective vs a REAL EDR; deliver red report + blue detection pack + evade&lt;-&gt;re-detect coverage</t>
        </is>
      </c>
      <c r="F84" s="17" t="inlineStr">
        <is>
          <t>★★★★★</t>
        </is>
      </c>
      <c r="G84" s="17" t="n">
        <v>1500</v>
      </c>
      <c r="H84" s="17" t="inlineStr">
        <is>
          <t>Not Started</t>
        </is>
      </c>
      <c r="I84" s="17">
        <f>IF(H84="Done",G84,0)</f>
        <v/>
      </c>
      <c r="J84" s="17" t="inlineStr"/>
      <c r="K84" s="19" t="inlineStr"/>
    </row>
    <row r="85">
      <c r="A85" s="16" t="inlineStr">
        <is>
          <t>CAP-4</t>
        </is>
      </c>
      <c r="B85" s="17" t="inlineStr">
        <is>
          <t>Capstone</t>
        </is>
      </c>
      <c r="C85" s="17" t="inlineStr">
        <is>
          <t>Core</t>
        </is>
      </c>
      <c r="D85" s="17" t="inlineStr">
        <is>
          <t>Capstone</t>
        </is>
      </c>
      <c r="E85" s="18" t="inlineStr">
        <is>
          <t>CAP-4: Hybrid objective - start in cloud, land on-prem to a crown jewel (or reverse) with conditional access in play</t>
        </is>
      </c>
      <c r="F85" s="17" t="inlineStr">
        <is>
          <t>★★★★★</t>
        </is>
      </c>
      <c r="G85" s="17" t="n">
        <v>1500</v>
      </c>
      <c r="H85" s="17" t="inlineStr">
        <is>
          <t>Not Started</t>
        </is>
      </c>
      <c r="I85" s="17">
        <f>IF(H85="Done",G85,0)</f>
        <v/>
      </c>
      <c r="J85" s="17" t="inlineStr"/>
      <c r="K85" s="19" t="inlineStr"/>
    </row>
    <row r="86">
      <c r="A86" s="16" t="inlineStr">
        <is>
          <t>CAP-5A</t>
        </is>
      </c>
      <c r="B86" s="17" t="inlineStr">
        <is>
          <t>Capstone</t>
        </is>
      </c>
      <c r="C86" s="17" t="inlineStr">
        <is>
          <t>Core</t>
        </is>
      </c>
      <c r="D86" s="17" t="inlineStr">
        <is>
          <t>Capstone</t>
        </is>
      </c>
      <c r="E86" s="18" t="inlineStr">
        <is>
          <t>CAP-5A: Named-APT emulation #1 - intel-driven plan, execute vs instrumented defenses, exec+technical report + purple debrief</t>
        </is>
      </c>
      <c r="F86" s="17" t="inlineStr">
        <is>
          <t>★★★★★</t>
        </is>
      </c>
      <c r="G86" s="17" t="n">
        <v>2000</v>
      </c>
      <c r="H86" s="17" t="inlineStr">
        <is>
          <t>Not Started</t>
        </is>
      </c>
      <c r="I86" s="17">
        <f>IF(H86="Done",G86,0)</f>
        <v/>
      </c>
      <c r="J86" s="17" t="inlineStr"/>
      <c r="K86" s="19" t="inlineStr"/>
    </row>
    <row r="87">
      <c r="A87" s="16" t="inlineStr">
        <is>
          <t>CAP-5B</t>
        </is>
      </c>
      <c r="B87" s="17" t="inlineStr">
        <is>
          <t>Capstone</t>
        </is>
      </c>
      <c r="C87" s="17" t="inlineStr">
        <is>
          <t>Core</t>
        </is>
      </c>
      <c r="D87" s="17" t="inlineStr">
        <is>
          <t>Capstone</t>
        </is>
      </c>
      <c r="E87" s="18" t="inlineStr">
        <is>
          <t>CAP-5B: Named-APT emulation #2 - a DIFFERENT actor with different tradecraft; measurably improve detection coverage</t>
        </is>
      </c>
      <c r="F87" s="17" t="inlineStr">
        <is>
          <t>★★★★★</t>
        </is>
      </c>
      <c r="G87" s="17" t="n">
        <v>2000</v>
      </c>
      <c r="H87" s="17" t="inlineStr">
        <is>
          <t>Not Started</t>
        </is>
      </c>
      <c r="I87" s="17">
        <f>IF(H87="Done",G87,0)</f>
        <v/>
      </c>
      <c r="J87" s="17" t="inlineStr"/>
      <c r="K87" s="19" t="inlineStr"/>
    </row>
  </sheetData>
  <autoFilter ref="A1:K87"/>
  <conditionalFormatting sqref="A2:K87">
    <cfRule type="expression" priority="1" dxfId="0">
      <formula>$H2="Done"</formula>
    </cfRule>
    <cfRule type="expression" priority="2" dxfId="1">
      <formula>$H2="In Progress"</formula>
    </cfRule>
  </conditionalFormatting>
  <dataValidations count="1">
    <dataValidation sqref="H2:H87" showDropDown="0" showInputMessage="0" showErrorMessage="0" allowBlank="0" type="list">
      <formula1>"Not Started,In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LevelNo</t>
        </is>
      </c>
      <c r="B1" t="inlineStr">
        <is>
          <t>CumulativeXP</t>
        </is>
      </c>
      <c r="C1" t="inlineStr">
        <is>
          <t>RankLvl</t>
        </is>
      </c>
      <c r="D1" t="inlineStr">
        <is>
          <t>RankName</t>
        </is>
      </c>
    </row>
    <row r="2">
      <c r="A2" t="n">
        <v>1</v>
      </c>
      <c r="B2" t="n">
        <v>0</v>
      </c>
      <c r="C2" t="n">
        <v>1</v>
      </c>
      <c r="D2" t="inlineStr">
        <is>
          <t>Initiate</t>
        </is>
      </c>
    </row>
    <row r="3">
      <c r="A3" t="n">
        <v>2</v>
      </c>
      <c r="B3" t="n">
        <v>255</v>
      </c>
      <c r="C3" t="n">
        <v>5</v>
      </c>
      <c r="D3" t="inlineStr">
        <is>
          <t>Operator Cadet</t>
        </is>
      </c>
    </row>
    <row r="4">
      <c r="A4" t="n">
        <v>3</v>
      </c>
      <c r="B4" t="n">
        <v>565</v>
      </c>
      <c r="C4" t="n">
        <v>10</v>
      </c>
      <c r="D4" t="inlineStr">
        <is>
          <t>Journeyman Operator</t>
        </is>
      </c>
    </row>
    <row r="5">
      <c r="A5" t="n">
        <v>4</v>
      </c>
      <c r="B5" t="n">
        <v>930</v>
      </c>
      <c r="C5" t="n">
        <v>15</v>
      </c>
      <c r="D5" t="inlineStr">
        <is>
          <t>Adversary Emulator</t>
        </is>
      </c>
    </row>
    <row r="6">
      <c r="A6" t="n">
        <v>5</v>
      </c>
      <c r="B6" t="n">
        <v>1350</v>
      </c>
      <c r="C6" t="n">
        <v>20</v>
      </c>
      <c r="D6" t="inlineStr">
        <is>
          <t>Senior Red Teamer</t>
        </is>
      </c>
    </row>
    <row r="7">
      <c r="A7" t="n">
        <v>6</v>
      </c>
      <c r="B7" t="n">
        <v>1825</v>
      </c>
      <c r="C7" t="n">
        <v>25</v>
      </c>
      <c r="D7" t="inlineStr">
        <is>
          <t>Red Team Lead</t>
        </is>
      </c>
    </row>
    <row r="8">
      <c r="A8" t="n">
        <v>7</v>
      </c>
      <c r="B8" t="n">
        <v>2355</v>
      </c>
      <c r="C8" t="n">
        <v>30</v>
      </c>
      <c r="D8" t="inlineStr">
        <is>
          <t>Elite APT Emulation Specialist</t>
        </is>
      </c>
    </row>
    <row r="9">
      <c r="A9" t="n">
        <v>8</v>
      </c>
      <c r="B9" t="n">
        <v>2940</v>
      </c>
    </row>
    <row r="10">
      <c r="A10" t="n">
        <v>9</v>
      </c>
      <c r="B10" t="n">
        <v>3580</v>
      </c>
    </row>
    <row r="11">
      <c r="A11" t="n">
        <v>10</v>
      </c>
      <c r="B11" t="n">
        <v>4275</v>
      </c>
    </row>
    <row r="12">
      <c r="A12" t="n">
        <v>11</v>
      </c>
      <c r="B12" t="n">
        <v>5025</v>
      </c>
    </row>
    <row r="13">
      <c r="A13" t="n">
        <v>12</v>
      </c>
      <c r="B13" t="n">
        <v>5830</v>
      </c>
    </row>
    <row r="14">
      <c r="A14" t="n">
        <v>13</v>
      </c>
      <c r="B14" t="n">
        <v>6690</v>
      </c>
    </row>
    <row r="15">
      <c r="A15" t="n">
        <v>14</v>
      </c>
      <c r="B15" t="n">
        <v>7605</v>
      </c>
    </row>
    <row r="16">
      <c r="A16" t="n">
        <v>15</v>
      </c>
      <c r="B16" t="n">
        <v>8575</v>
      </c>
    </row>
    <row r="17">
      <c r="A17" t="n">
        <v>16</v>
      </c>
      <c r="B17" t="n">
        <v>9600</v>
      </c>
    </row>
    <row r="18">
      <c r="A18" t="n">
        <v>17</v>
      </c>
      <c r="B18" t="n">
        <v>10680</v>
      </c>
    </row>
    <row r="19">
      <c r="A19" t="n">
        <v>18</v>
      </c>
      <c r="B19" t="n">
        <v>11815</v>
      </c>
    </row>
    <row r="20">
      <c r="A20" t="n">
        <v>19</v>
      </c>
      <c r="B20" t="n">
        <v>13005</v>
      </c>
    </row>
    <row r="21">
      <c r="A21" t="n">
        <v>20</v>
      </c>
      <c r="B21" t="n">
        <v>14250</v>
      </c>
    </row>
    <row r="22">
      <c r="A22" t="n">
        <v>21</v>
      </c>
      <c r="B22" t="n">
        <v>15550</v>
      </c>
    </row>
    <row r="23">
      <c r="A23" t="n">
        <v>22</v>
      </c>
      <c r="B23" t="n">
        <v>16905</v>
      </c>
    </row>
    <row r="24">
      <c r="A24" t="n">
        <v>23</v>
      </c>
      <c r="B24" t="n">
        <v>18315</v>
      </c>
    </row>
    <row r="25">
      <c r="A25" t="n">
        <v>24</v>
      </c>
      <c r="B25" t="n">
        <v>19780</v>
      </c>
    </row>
    <row r="26">
      <c r="A26" t="n">
        <v>25</v>
      </c>
      <c r="B26" t="n">
        <v>21300</v>
      </c>
    </row>
    <row r="27">
      <c r="A27" t="n">
        <v>26</v>
      </c>
      <c r="B27" t="n">
        <v>22875</v>
      </c>
    </row>
    <row r="28">
      <c r="A28" t="n">
        <v>27</v>
      </c>
      <c r="B28" t="n">
        <v>24505</v>
      </c>
    </row>
    <row r="29">
      <c r="A29" t="n">
        <v>28</v>
      </c>
      <c r="B29" t="n">
        <v>26190</v>
      </c>
    </row>
    <row r="30">
      <c r="A30" t="n">
        <v>29</v>
      </c>
      <c r="B30" t="n">
        <v>27930</v>
      </c>
    </row>
    <row r="31">
      <c r="A31" t="n">
        <v>30</v>
      </c>
      <c r="B31" t="n">
        <v>29725</v>
      </c>
    </row>
    <row r="32">
      <c r="A32" t="n">
        <v>31</v>
      </c>
      <c r="B32" t="n">
        <v>31575</v>
      </c>
    </row>
    <row r="33">
      <c r="A33" t="n">
        <v>32</v>
      </c>
      <c r="B33" t="n">
        <v>33480</v>
      </c>
    </row>
    <row r="34">
      <c r="A34" t="n">
        <v>33</v>
      </c>
      <c r="B34" t="n">
        <v>35440</v>
      </c>
    </row>
    <row r="35">
      <c r="A35" t="n">
        <v>34</v>
      </c>
      <c r="B35" t="n">
        <v>37455</v>
      </c>
    </row>
    <row r="36">
      <c r="A36" t="n">
        <v>35</v>
      </c>
      <c r="B36" t="n">
        <v>39525</v>
      </c>
    </row>
    <row r="37">
      <c r="A37" t="n">
        <v>36</v>
      </c>
      <c r="B37" t="n">
        <v>41650</v>
      </c>
    </row>
    <row r="38">
      <c r="A38" t="n">
        <v>37</v>
      </c>
      <c r="B38" t="n">
        <v>43830</v>
      </c>
    </row>
    <row r="39">
      <c r="A39" t="n">
        <v>38</v>
      </c>
      <c r="B39" t="n">
        <v>46065</v>
      </c>
    </row>
    <row r="40">
      <c r="A40" t="n">
        <v>39</v>
      </c>
      <c r="B40" t="n">
        <v>48355</v>
      </c>
    </row>
    <row r="41">
      <c r="A41" t="n">
        <v>40</v>
      </c>
      <c r="B41" t="n">
        <v>50700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0" customWidth="1" min="3" max="3"/>
  </cols>
  <sheetData>
    <row r="2">
      <c r="B2" s="20" t="inlineStr">
        <is>
          <t>LEGEND &amp; LEVELING</t>
        </is>
      </c>
    </row>
    <row r="4">
      <c r="B4" s="21" t="inlineStr">
        <is>
          <t>Categories</t>
        </is>
      </c>
    </row>
    <row r="5">
      <c r="B5" s="22" t="inlineStr">
        <is>
          <t>Learn</t>
        </is>
      </c>
      <c r="C5" s="23" t="inlineStr">
        <is>
          <t>Study/understand a concept or technique family</t>
        </is>
      </c>
    </row>
    <row r="6">
      <c r="B6" s="22" t="inlineStr">
        <is>
          <t>Exercise</t>
        </is>
      </c>
      <c r="C6" s="23" t="inlineStr">
        <is>
          <t>Hands-on drill in your own lab</t>
        </is>
      </c>
    </row>
    <row r="7">
      <c r="B7" s="22" t="inlineStr">
        <is>
          <t>Lab</t>
        </is>
      </c>
      <c r="C7" s="23" t="inlineStr">
        <is>
          <t>Full lab / range / Pro Lab environment</t>
        </is>
      </c>
    </row>
    <row r="8">
      <c r="B8" s="22" t="inlineStr">
        <is>
          <t>Assessment</t>
        </is>
      </c>
      <c r="C8" s="23" t="inlineStr">
        <is>
          <t>Gate you must pass to advance (proves the skill)</t>
        </is>
      </c>
    </row>
    <row r="9">
      <c r="B9" s="22" t="inlineStr">
        <is>
          <t>Milestone</t>
        </is>
      </c>
      <c r="C9" s="23" t="inlineStr">
        <is>
          <t>Certification or major checkpoint</t>
        </is>
      </c>
    </row>
    <row r="10">
      <c r="B10" s="22" t="inlineStr">
        <is>
          <t>Track</t>
        </is>
      </c>
      <c r="C10" s="23" t="inlineStr">
        <is>
          <t>Ongoing parallel-track work (tradecraft, reporting, etc.)</t>
        </is>
      </c>
    </row>
    <row r="11">
      <c r="B11" s="22" t="inlineStr">
        <is>
          <t>Capstone</t>
        </is>
      </c>
      <c r="C11" s="23" t="inlineStr">
        <is>
          <t>Independent end-to-end engagement simulation</t>
        </is>
      </c>
    </row>
    <row r="12">
      <c r="B12" s="24" t="inlineStr"/>
      <c r="C12" s="23" t="inlineStr"/>
    </row>
    <row r="13">
      <c r="B13" s="21" t="inlineStr">
        <is>
          <t>Tracks</t>
        </is>
      </c>
    </row>
    <row r="14">
      <c r="B14" s="22" t="inlineStr">
        <is>
          <t>Core</t>
        </is>
      </c>
      <c r="C14" s="23" t="inlineStr">
        <is>
          <t>Main technical attack-chain progression</t>
        </is>
      </c>
    </row>
    <row r="15">
      <c r="B15" s="22" t="inlineStr">
        <is>
          <t>Technical</t>
        </is>
      </c>
      <c r="C15" s="23" t="inlineStr">
        <is>
          <t>Offensive dev, exploit dev, maldev depth</t>
        </is>
      </c>
    </row>
    <row r="16">
      <c r="B16" s="22" t="inlineStr">
        <is>
          <t>Tradecraft</t>
        </is>
      </c>
      <c r="C16" s="23" t="inlineStr">
        <is>
          <t>OPSEC, C2 infra, attribution discipline</t>
        </is>
      </c>
    </row>
    <row r="17">
      <c r="B17" s="22" t="inlineStr">
        <is>
          <t>Reporting</t>
        </is>
      </c>
      <c r="C17" s="23" t="inlineStr">
        <is>
          <t>Executive + technical writing, engagement leadership</t>
        </is>
      </c>
    </row>
    <row r="18">
      <c r="B18" s="22" t="inlineStr">
        <is>
          <t>Detection</t>
        </is>
      </c>
      <c r="C18" s="23" t="inlineStr">
        <is>
          <t>Detection-aware red teaming, Sigma/telemetry</t>
        </is>
      </c>
    </row>
    <row r="19">
      <c r="B19" s="22" t="inlineStr">
        <is>
          <t>Purple</t>
        </is>
      </c>
      <c r="C19" s="23" t="inlineStr">
        <is>
          <t>Purple-team collaboration cycles</t>
        </is>
      </c>
    </row>
    <row r="20">
      <c r="B20" s="24" t="inlineStr"/>
      <c r="C20" s="23" t="inlineStr"/>
    </row>
    <row r="21">
      <c r="B21" s="22" t="inlineStr">
        <is>
          <t>Difficulty</t>
        </is>
      </c>
      <c r="C21" s="23" t="inlineStr">
        <is>
          <t>1 star (foundational) to 5 stars (elite)</t>
        </is>
      </c>
    </row>
    <row r="22">
      <c r="B22" s="22" t="inlineStr">
        <is>
          <t>Leveling</t>
        </is>
      </c>
      <c r="C22" s="23" t="inlineStr">
        <is>
          <t>Level up needs 200 + 55 x (level) XP each step; ranks unlock at levels 1/5/10/15/20/25/30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2026-08-27T13:46:15Z</dcterms:created>
  <dcterms:modified xmlns:dcterms="http://purl.org/dc/terms/" xmlns:xsi="http://www.w3.org/2001/XMLSchema-instance" xsi:type="dcterms:W3CDTF">2026-08-27T13:46:15Z</dcterms:modified>
</cp:coreProperties>
</file>